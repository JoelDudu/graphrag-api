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CorreiaBeatriz\Downloads\"/>
    </mc:Choice>
  </mc:AlternateContent>
  <xr:revisionPtr revIDLastSave="0" documentId="13_ncr:1_{B465E226-9D0C-40DD-B7E2-1BC7AE4236DD}" xr6:coauthVersionLast="44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Orçamento an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02" i="1" l="1"/>
  <c r="Q81" i="1" l="1"/>
  <c r="Q82" i="1"/>
  <c r="Q83" i="1"/>
  <c r="Q84" i="1"/>
  <c r="Q85" i="1"/>
  <c r="P88" i="1"/>
  <c r="M88" i="1"/>
  <c r="J88" i="1"/>
  <c r="H88" i="1"/>
  <c r="E88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Q104" i="1"/>
  <c r="Q101" i="1"/>
  <c r="Q100" i="1"/>
  <c r="Q99" i="1"/>
  <c r="Q98" i="1"/>
  <c r="Q97" i="1"/>
  <c r="Q96" i="1"/>
  <c r="O88" i="1"/>
  <c r="N88" i="1"/>
  <c r="L88" i="1"/>
  <c r="K88" i="1"/>
  <c r="I88" i="1"/>
  <c r="G88" i="1"/>
  <c r="F88" i="1"/>
  <c r="Q87" i="1"/>
  <c r="Q86" i="1"/>
  <c r="P78" i="1"/>
  <c r="O78" i="1"/>
  <c r="N78" i="1"/>
  <c r="M78" i="1"/>
  <c r="L78" i="1"/>
  <c r="K78" i="1"/>
  <c r="J78" i="1"/>
  <c r="I78" i="1"/>
  <c r="H78" i="1"/>
  <c r="G78" i="1"/>
  <c r="F78" i="1"/>
  <c r="E78" i="1"/>
  <c r="Q77" i="1"/>
  <c r="Q76" i="1"/>
  <c r="Q75" i="1"/>
  <c r="Q74" i="1"/>
  <c r="Q73" i="1"/>
  <c r="P70" i="1"/>
  <c r="O70" i="1"/>
  <c r="N70" i="1"/>
  <c r="M70" i="1"/>
  <c r="L70" i="1"/>
  <c r="K70" i="1"/>
  <c r="J70" i="1"/>
  <c r="I70" i="1"/>
  <c r="H70" i="1"/>
  <c r="G70" i="1"/>
  <c r="F70" i="1"/>
  <c r="E70" i="1"/>
  <c r="Q69" i="1"/>
  <c r="Q68" i="1"/>
  <c r="Q67" i="1"/>
  <c r="Q66" i="1"/>
  <c r="Q65" i="1"/>
  <c r="Q64" i="1"/>
  <c r="Q63" i="1"/>
  <c r="Q62" i="1"/>
  <c r="Q61" i="1"/>
  <c r="P58" i="1"/>
  <c r="O58" i="1"/>
  <c r="N58" i="1"/>
  <c r="M58" i="1"/>
  <c r="L58" i="1"/>
  <c r="K58" i="1"/>
  <c r="J58" i="1"/>
  <c r="I58" i="1"/>
  <c r="H58" i="1"/>
  <c r="G58" i="1"/>
  <c r="F58" i="1"/>
  <c r="E58" i="1"/>
  <c r="Q57" i="1"/>
  <c r="Q56" i="1"/>
  <c r="Q55" i="1"/>
  <c r="Q54" i="1"/>
  <c r="Q53" i="1"/>
  <c r="Q52" i="1"/>
  <c r="P49" i="1"/>
  <c r="O49" i="1"/>
  <c r="N49" i="1"/>
  <c r="M49" i="1"/>
  <c r="L49" i="1"/>
  <c r="K49" i="1"/>
  <c r="J49" i="1"/>
  <c r="I49" i="1"/>
  <c r="H49" i="1"/>
  <c r="G49" i="1"/>
  <c r="F49" i="1"/>
  <c r="E49" i="1"/>
  <c r="Q48" i="1"/>
  <c r="Q47" i="1"/>
  <c r="Q46" i="1"/>
  <c r="Q45" i="1"/>
  <c r="Q44" i="1"/>
  <c r="P41" i="1"/>
  <c r="O41" i="1"/>
  <c r="N41" i="1"/>
  <c r="M41" i="1"/>
  <c r="L41" i="1"/>
  <c r="K41" i="1"/>
  <c r="J41" i="1"/>
  <c r="I41" i="1"/>
  <c r="H41" i="1"/>
  <c r="G41" i="1"/>
  <c r="F41" i="1"/>
  <c r="E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P24" i="1"/>
  <c r="O24" i="1"/>
  <c r="N24" i="1"/>
  <c r="M24" i="1"/>
  <c r="L24" i="1"/>
  <c r="K24" i="1"/>
  <c r="J24" i="1"/>
  <c r="I24" i="1"/>
  <c r="H24" i="1"/>
  <c r="G24" i="1"/>
  <c r="F24" i="1"/>
  <c r="E24" i="1"/>
  <c r="Q23" i="1"/>
  <c r="Q22" i="1"/>
  <c r="Q21" i="1"/>
  <c r="Q20" i="1"/>
  <c r="Q19" i="1"/>
  <c r="P14" i="1"/>
  <c r="O14" i="1"/>
  <c r="N14" i="1"/>
  <c r="M14" i="1"/>
  <c r="L14" i="1"/>
  <c r="K14" i="1"/>
  <c r="J14" i="1"/>
  <c r="I14" i="1"/>
  <c r="H14" i="1"/>
  <c r="G14" i="1"/>
  <c r="F14" i="1"/>
  <c r="E14" i="1"/>
  <c r="Q5" i="1"/>
  <c r="Q14" i="1" s="1"/>
  <c r="H90" i="1" l="1"/>
  <c r="H93" i="1" s="1"/>
  <c r="P90" i="1"/>
  <c r="P93" i="1" s="1"/>
  <c r="K90" i="1"/>
  <c r="K93" i="1" s="1"/>
  <c r="L90" i="1"/>
  <c r="L93" i="1" s="1"/>
  <c r="I90" i="1"/>
  <c r="I93" i="1" s="1"/>
  <c r="J90" i="1"/>
  <c r="J93" i="1" s="1"/>
  <c r="F90" i="1"/>
  <c r="F93" i="1" s="1"/>
  <c r="N90" i="1"/>
  <c r="N93" i="1" s="1"/>
  <c r="M90" i="1"/>
  <c r="M93" i="1" s="1"/>
  <c r="G90" i="1"/>
  <c r="G93" i="1" s="1"/>
  <c r="O90" i="1"/>
  <c r="O93" i="1" s="1"/>
  <c r="E90" i="1"/>
  <c r="E93" i="1" s="1"/>
  <c r="Q41" i="1"/>
  <c r="Q58" i="1"/>
  <c r="Q70" i="1"/>
  <c r="Q78" i="1"/>
  <c r="Q24" i="1"/>
  <c r="Q105" i="1"/>
  <c r="Q49" i="1"/>
  <c r="Q88" i="1"/>
  <c r="Q90" i="1" l="1"/>
  <c r="Q93" i="1" s="1"/>
</calcChain>
</file>

<file path=xl/sharedStrings.xml><?xml version="1.0" encoding="utf-8"?>
<sst xmlns="http://schemas.openxmlformats.org/spreadsheetml/2006/main" count="208" uniqueCount="91">
  <si>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</si>
  <si>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</si>
  <si>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</si>
  <si>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</si>
  <si>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</si>
  <si>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</si>
  <si>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</si>
  <si>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</si>
  <si>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</si>
  <si>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</si>
  <si>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</si>
  <si>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</si>
  <si>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Ano</t>
  </si>
  <si>
    <t>13º salário/Férias</t>
  </si>
  <si>
    <t>Bônus ou distribuição de lucros</t>
  </si>
  <si>
    <t>Resgate de investimentos</t>
  </si>
  <si>
    <t>Renda de investimentos</t>
  </si>
  <si>
    <t>Rendas extras (freelas/temporários)</t>
  </si>
  <si>
    <t>Vendas de bens ou objetos</t>
  </si>
  <si>
    <t>Outros</t>
  </si>
  <si>
    <t>1- Total da renda</t>
  </si>
  <si>
    <t>Total no mês</t>
  </si>
  <si>
    <t>Dívidas</t>
  </si>
  <si>
    <t>Empréstimos pessoais e consignados</t>
  </si>
  <si>
    <t>Rotativo do Cartão</t>
  </si>
  <si>
    <t>Mensalidade do cartão de crédito</t>
  </si>
  <si>
    <t>Moradia</t>
  </si>
  <si>
    <t>Aluguel</t>
  </si>
  <si>
    <t>IPTU</t>
  </si>
  <si>
    <t>Condomínio</t>
  </si>
  <si>
    <t>Conta de Água</t>
  </si>
  <si>
    <t>Conta de Luz</t>
  </si>
  <si>
    <t>Conta de Gás</t>
  </si>
  <si>
    <t>Mensalista/diarista</t>
  </si>
  <si>
    <t>Conta de internet / TV a cabo</t>
  </si>
  <si>
    <t>Conta de telefone fixo</t>
  </si>
  <si>
    <t>Conta de celular</t>
  </si>
  <si>
    <t>Reformas/consertos</t>
  </si>
  <si>
    <t>Seguro da casa</t>
  </si>
  <si>
    <r>
      <rPr>
        <sz val="14"/>
        <color theme="1"/>
        <rFont val="Source Sans Pro"/>
        <family val="2"/>
      </rPr>
      <t xml:space="preserve">Animais de estimação </t>
    </r>
    <r>
      <rPr>
        <sz val="14"/>
        <color theme="1"/>
        <rFont val="Source Sans Pro"/>
        <family val="2"/>
      </rPr>
      <t>(ração,tosa,remédios,etc.)</t>
    </r>
  </si>
  <si>
    <t>Alimentação</t>
  </si>
  <si>
    <t>Supermercado</t>
  </si>
  <si>
    <t>Açougue</t>
  </si>
  <si>
    <t>Hortifruti / feira</t>
  </si>
  <si>
    <t>Padaria</t>
  </si>
  <si>
    <t>Saúde</t>
  </si>
  <si>
    <t xml:space="preserve">Plano de saúde </t>
  </si>
  <si>
    <t>Médico</t>
  </si>
  <si>
    <t>Dentista</t>
  </si>
  <si>
    <t>Terapeuta</t>
  </si>
  <si>
    <t>Medicamentos e tratamentos</t>
  </si>
  <si>
    <t>Transporte</t>
  </si>
  <si>
    <t>Combustível</t>
  </si>
  <si>
    <t>Parcela de seguro pago no mês</t>
  </si>
  <si>
    <t>Estacionamento</t>
  </si>
  <si>
    <t>Multas</t>
  </si>
  <si>
    <t>Transporte público</t>
  </si>
  <si>
    <t>Aplicativos de transporte</t>
  </si>
  <si>
    <t>Educação</t>
  </si>
  <si>
    <t xml:space="preserve">Mensalidade </t>
  </si>
  <si>
    <t>Transporte escolar</t>
  </si>
  <si>
    <t>Cuidados pessoais</t>
  </si>
  <si>
    <t>Higiene pessoal</t>
  </si>
  <si>
    <t>Cabeleireiro</t>
  </si>
  <si>
    <t>Procedimentos estéticos</t>
  </si>
  <si>
    <t>Vestuário</t>
  </si>
  <si>
    <t>Acessórios</t>
  </si>
  <si>
    <t>Academia</t>
  </si>
  <si>
    <t>2- Total das despesas</t>
  </si>
  <si>
    <t>3- Resultado</t>
  </si>
  <si>
    <t>Previdência</t>
  </si>
  <si>
    <t>Caderneta de poupança</t>
  </si>
  <si>
    <t>Renda fixa (CDB, CDI, Tesouro Direto)</t>
  </si>
  <si>
    <t>Fundos</t>
  </si>
  <si>
    <t>Fundos imobiliários</t>
  </si>
  <si>
    <t xml:space="preserve">Ações </t>
  </si>
  <si>
    <t>Outros investimentos</t>
  </si>
  <si>
    <t>RECEITAS</t>
  </si>
  <si>
    <t xml:space="preserve">DESPESAS </t>
  </si>
  <si>
    <t>Salário</t>
  </si>
  <si>
    <t>Imóveis alugados</t>
  </si>
  <si>
    <t xml:space="preserve">Total </t>
  </si>
  <si>
    <t xml:space="preserve">Financiamentos </t>
  </si>
  <si>
    <t>IPVA/Licenciamento</t>
  </si>
  <si>
    <t>Manutenção (mecânico, lavagem, etc)</t>
  </si>
  <si>
    <t>Material didático/Livros</t>
  </si>
  <si>
    <t xml:space="preserve">Cursos </t>
  </si>
  <si>
    <t>INVESTIMENTOS</t>
  </si>
  <si>
    <t>Criptoativos</t>
  </si>
  <si>
    <t>BDRs</t>
  </si>
  <si>
    <t>Renda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</si>
</sst>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"/>
  </numFmts>
  <fonts count="27">
    <font>
      <sz val="10"/>
      <color rgb="FF000000"/>
      <name val="Arial"/>
    </font>
    <font>
      <sz val="10"/>
      <color theme="1"/>
      <name val="Arial"/>
      <family val="2"/>
    </font>
    <font>
      <b/>
      <sz val="24"/>
      <color rgb="FFFFFFFF"/>
      <name val="Montserrat"/>
    </font>
    <font>
      <sz val="10"/>
      <name val="Arial"/>
      <family val="2"/>
    </font>
    <font>
      <sz val="48"/>
      <color theme="1"/>
      <name val="Source Sans Pro"/>
      <family val="2"/>
    </font>
    <font>
      <b/>
      <sz val="18"/>
      <color theme="1"/>
      <name val="Source Sans Pro"/>
      <family val="2"/>
    </font>
    <font>
      <sz val="18"/>
      <color theme="0"/>
      <name val="Source Sans Pro"/>
      <family val="2"/>
    </font>
    <font>
      <sz val="14"/>
      <color theme="1"/>
      <name val="Source Sans Pro"/>
      <family val="2"/>
    </font>
    <font>
      <sz val="14"/>
      <color rgb="FF000000"/>
      <name val="Source Sans Pro"/>
      <family val="2"/>
    </font>
    <font>
      <b/>
      <sz val="14"/>
      <color theme="1"/>
      <name val="Source Sans Pro"/>
      <family val="2"/>
    </font>
    <font>
      <b/>
      <sz val="14"/>
      <color rgb="FF000000"/>
      <name val="Source Sans Pro"/>
      <family val="2"/>
    </font>
    <font>
      <sz val="20"/>
      <color rgb="FFFFFFFF"/>
      <name val="Source Sans Pro"/>
      <family val="2"/>
    </font>
    <font>
      <sz val="14"/>
      <color rgb="FFFFFFFF"/>
      <name val="Source Sans Pro"/>
      <family val="2"/>
    </font>
    <font>
      <b/>
      <sz val="14"/>
      <color rgb="FFFFFFFF"/>
      <name val="Source Sans Pro"/>
      <family val="2"/>
    </font>
    <font>
      <sz val="12"/>
      <color theme="1"/>
      <name val="Source Sans Pro"/>
      <family val="2"/>
    </font>
    <font>
      <sz val="10"/>
      <color theme="1"/>
      <name val="Source Sans Pro"/>
      <family val="2"/>
    </font>
    <font>
      <sz val="18"/>
      <color rgb="FFFFFFFF"/>
      <name val="Source Sans Pro"/>
      <family val="2"/>
    </font>
    <font>
      <sz val="18"/>
      <color theme="1"/>
      <name val="Source Sans Pro"/>
      <family val="2"/>
    </font>
    <font>
      <sz val="14"/>
      <color theme="1"/>
      <name val="Source Sans Pro"/>
      <family val="2"/>
    </font>
    <font>
      <b/>
      <sz val="24"/>
      <color theme="0"/>
      <name val="Montserrat"/>
    </font>
    <font>
      <sz val="10"/>
      <color theme="0"/>
      <name val="Arial"/>
      <family val="2"/>
    </font>
    <font>
      <b/>
      <sz val="18"/>
      <color theme="1"/>
      <name val="Source Sans Pro"/>
      <family val="2"/>
    </font>
    <font>
      <sz val="20"/>
      <color theme="0"/>
      <name val="Source Sans Pro"/>
      <family val="2"/>
    </font>
    <font>
      <sz val="14"/>
      <color theme="0"/>
      <name val="Source Sans Pro"/>
      <family val="2"/>
    </font>
    <font>
      <b/>
      <sz val="14"/>
      <color theme="0"/>
      <name val="Source Sans Pro"/>
      <family val="2"/>
    </font>
    <font>
      <sz val="18"/>
      <color theme="0"/>
      <name val="Source Sans Pro"/>
      <family val="2"/>
    </font>
    <font>
      <b/>
      <sz val="24"/>
      <color theme="0"/>
      <name val="Montserra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E3E3EB"/>
        <bgColor rgb="FFE3E3EB"/>
      </patternFill>
    </fill>
    <fill>
      <patternFill patternType="solid">
        <fgColor theme="1"/>
        <bgColor theme="1"/>
      </patternFill>
    </fill>
    <fill>
      <patternFill patternType="solid">
        <fgColor rgb="FF92D050"/>
        <bgColor rgb="FFE02B57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1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theme="0"/>
        <bgColor rgb="FFE3E3EB"/>
      </patternFill>
    </fill>
    <fill>
      <patternFill patternType="solid">
        <fgColor rgb="FFE3E3EB"/>
        <bgColor indexed="64"/>
      </patternFill>
    </fill>
    <fill>
      <patternFill patternType="solid">
        <fgColor rgb="FFE3E3EB"/>
        <bgColor theme="0"/>
      </patternFill>
    </fill>
    <fill>
      <patternFill patternType="solid">
        <fgColor theme="0"/>
        <bgColor rgb="FF000000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1" fillId="3" borderId="2" xfId="0" applyFont="1" applyFill="1" applyBorder="1"/>
    <xf numFmtId="0" fontId="20" fillId="10" borderId="0" xfId="0" applyFont="1" applyFill="1" applyAlignment="1"/>
    <xf numFmtId="0" fontId="0" fillId="8" borderId="0" xfId="0" applyFont="1" applyFill="1" applyAlignment="1"/>
    <xf numFmtId="0" fontId="0" fillId="0" borderId="0" xfId="0" applyFont="1" applyAlignment="1"/>
    <xf numFmtId="0" fontId="0" fillId="0" borderId="0" xfId="0" applyFont="1" applyAlignment="1"/>
    <xf numFmtId="0" fontId="20" fillId="8" borderId="1" xfId="0" applyFont="1" applyFill="1" applyBorder="1"/>
    <xf numFmtId="0" fontId="1" fillId="0" borderId="2" xfId="0" applyFont="1" applyBorder="1"/>
    <xf numFmtId="0" fontId="19" fillId="7" borderId="2" xfId="0" applyFont="1" applyFill="1" applyBorder="1" applyAlignment="1">
      <alignment horizontal="left" vertical="center" wrapText="1"/>
    </xf>
    <xf numFmtId="0" fontId="20" fillId="10" borderId="2" xfId="0" applyFont="1" applyFill="1" applyBorder="1" applyAlignment="1"/>
    <xf numFmtId="0" fontId="0" fillId="10" borderId="2" xfId="0" applyFont="1" applyFill="1" applyBorder="1" applyAlignment="1"/>
    <xf numFmtId="0" fontId="17" fillId="3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/>
    <xf numFmtId="0" fontId="20" fillId="8" borderId="2" xfId="0" applyFont="1" applyFill="1" applyBorder="1"/>
    <xf numFmtId="0" fontId="7" fillId="4" borderId="7" xfId="0" applyFont="1" applyFill="1" applyBorder="1" applyAlignment="1">
      <alignment wrapText="1"/>
    </xf>
    <xf numFmtId="164" fontId="7" fillId="4" borderId="7" xfId="0" applyNumberFormat="1" applyFont="1" applyFill="1" applyBorder="1" applyAlignment="1"/>
    <xf numFmtId="164" fontId="7" fillId="0" borderId="7" xfId="0" applyNumberFormat="1" applyFont="1" applyBorder="1"/>
    <xf numFmtId="0" fontId="7" fillId="0" borderId="7" xfId="0" applyFont="1" applyBorder="1" applyAlignment="1">
      <alignment wrapText="1"/>
    </xf>
    <xf numFmtId="164" fontId="7" fillId="0" borderId="7" xfId="0" applyNumberFormat="1" applyFont="1" applyBorder="1" applyAlignment="1"/>
    <xf numFmtId="0" fontId="18" fillId="13" borderId="7" xfId="0" applyFont="1" applyFill="1" applyBorder="1" applyAlignment="1">
      <alignment wrapText="1"/>
    </xf>
    <xf numFmtId="0" fontId="18" fillId="0" borderId="7" xfId="0" applyFont="1" applyBorder="1" applyAlignment="1">
      <alignment wrapText="1"/>
    </xf>
    <xf numFmtId="0" fontId="9" fillId="0" borderId="7" xfId="0" applyFont="1" applyBorder="1" applyAlignment="1">
      <alignment wrapText="1"/>
    </xf>
    <xf numFmtId="164" fontId="9" fillId="0" borderId="7" xfId="0" applyNumberFormat="1" applyFont="1" applyBorder="1"/>
    <xf numFmtId="0" fontId="14" fillId="0" borderId="8" xfId="0" applyFont="1" applyBorder="1" applyAlignment="1">
      <alignment vertical="center" wrapText="1"/>
    </xf>
    <xf numFmtId="0" fontId="3" fillId="0" borderId="8" xfId="0" applyFont="1" applyBorder="1"/>
    <xf numFmtId="0" fontId="26" fillId="8" borderId="7" xfId="0" applyFont="1" applyFill="1" applyBorder="1" applyAlignment="1">
      <alignment wrapText="1"/>
    </xf>
    <xf numFmtId="0" fontId="6" fillId="6" borderId="7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vertical="center" wrapText="1"/>
    </xf>
    <xf numFmtId="0" fontId="3" fillId="0" borderId="9" xfId="0" applyFont="1" applyBorder="1"/>
    <xf numFmtId="0" fontId="21" fillId="8" borderId="7" xfId="0" applyFont="1" applyFill="1" applyBorder="1" applyAlignment="1">
      <alignment wrapText="1"/>
    </xf>
    <xf numFmtId="164" fontId="7" fillId="4" borderId="7" xfId="0" applyNumberFormat="1" applyFont="1" applyFill="1" applyBorder="1"/>
    <xf numFmtId="164" fontId="9" fillId="4" borderId="7" xfId="0" applyNumberFormat="1" applyFont="1" applyFill="1" applyBorder="1"/>
    <xf numFmtId="0" fontId="7" fillId="3" borderId="7" xfId="0" applyFont="1" applyFill="1" applyBorder="1" applyAlignment="1">
      <alignment wrapText="1"/>
    </xf>
    <xf numFmtId="164" fontId="7" fillId="3" borderId="7" xfId="0" applyNumberFormat="1" applyFont="1" applyFill="1" applyBorder="1"/>
    <xf numFmtId="164" fontId="9" fillId="3" borderId="7" xfId="0" applyNumberFormat="1" applyFont="1" applyFill="1" applyBorder="1"/>
    <xf numFmtId="0" fontId="9" fillId="4" borderId="7" xfId="0" applyFont="1" applyFill="1" applyBorder="1" applyAlignment="1">
      <alignment wrapText="1"/>
    </xf>
    <xf numFmtId="0" fontId="14" fillId="0" borderId="2" xfId="0" applyFont="1" applyBorder="1" applyAlignment="1">
      <alignment vertical="center" wrapText="1"/>
    </xf>
    <xf numFmtId="0" fontId="5" fillId="8" borderId="7" xfId="0" applyFont="1" applyFill="1" applyBorder="1" applyAlignment="1">
      <alignment wrapText="1"/>
    </xf>
    <xf numFmtId="0" fontId="18" fillId="4" borderId="7" xfId="0" applyFont="1" applyFill="1" applyBorder="1" applyAlignment="1">
      <alignment wrapText="1"/>
    </xf>
    <xf numFmtId="0" fontId="7" fillId="13" borderId="7" xfId="0" applyFont="1" applyFill="1" applyBorder="1" applyAlignment="1">
      <alignment wrapText="1"/>
    </xf>
    <xf numFmtId="164" fontId="7" fillId="13" borderId="7" xfId="0" applyNumberFormat="1" applyFont="1" applyFill="1" applyBorder="1"/>
    <xf numFmtId="164" fontId="9" fillId="13" borderId="7" xfId="0" applyNumberFormat="1" applyFont="1" applyFill="1" applyBorder="1"/>
    <xf numFmtId="0" fontId="18" fillId="12" borderId="7" xfId="0" applyFont="1" applyFill="1" applyBorder="1" applyAlignment="1">
      <alignment wrapText="1"/>
    </xf>
    <xf numFmtId="164" fontId="7" fillId="12" borderId="7" xfId="0" applyNumberFormat="1" applyFont="1" applyFill="1" applyBorder="1"/>
    <xf numFmtId="164" fontId="9" fillId="12" borderId="7" xfId="0" applyNumberFormat="1" applyFont="1" applyFill="1" applyBorder="1"/>
    <xf numFmtId="0" fontId="3" fillId="0" borderId="2" xfId="0" applyFont="1" applyBorder="1"/>
    <xf numFmtId="0" fontId="7" fillId="0" borderId="7" xfId="0" applyFont="1" applyBorder="1" applyAlignment="1">
      <alignment vertical="center"/>
    </xf>
    <xf numFmtId="0" fontId="7" fillId="13" borderId="7" xfId="0" applyFont="1" applyFill="1" applyBorder="1"/>
    <xf numFmtId="0" fontId="7" fillId="0" borderId="7" xfId="0" applyFont="1" applyBorder="1" applyAlignment="1">
      <alignment horizontal="left"/>
    </xf>
    <xf numFmtId="0" fontId="2" fillId="7" borderId="7" xfId="0" applyFont="1" applyFill="1" applyBorder="1" applyAlignment="1">
      <alignment horizontal="left" vertical="center" wrapText="1"/>
    </xf>
    <xf numFmtId="0" fontId="3" fillId="8" borderId="7" xfId="0" applyFont="1" applyFill="1" applyBorder="1"/>
    <xf numFmtId="0" fontId="14" fillId="0" borderId="7" xfId="0" applyFont="1" applyBorder="1" applyAlignment="1">
      <alignment vertical="center" wrapText="1"/>
    </xf>
    <xf numFmtId="0" fontId="3" fillId="0" borderId="7" xfId="0" applyFont="1" applyBorder="1"/>
    <xf numFmtId="0" fontId="5" fillId="8" borderId="7" xfId="0" applyFont="1" applyFill="1" applyBorder="1" applyAlignment="1">
      <alignment vertical="center" wrapText="1"/>
    </xf>
    <xf numFmtId="0" fontId="7" fillId="12" borderId="7" xfId="0" applyFont="1" applyFill="1" applyBorder="1" applyAlignment="1">
      <alignment wrapText="1"/>
    </xf>
    <xf numFmtId="0" fontId="22" fillId="9" borderId="2" xfId="0" applyFont="1" applyFill="1" applyBorder="1" applyAlignment="1">
      <alignment horizontal="left" vertical="center"/>
    </xf>
    <xf numFmtId="164" fontId="23" fillId="9" borderId="2" xfId="0" applyNumberFormat="1" applyFont="1" applyFill="1" applyBorder="1" applyAlignment="1">
      <alignment horizontal="center" vertical="center"/>
    </xf>
    <xf numFmtId="164" fontId="24" fillId="9" borderId="2" xfId="0" applyNumberFormat="1" applyFont="1" applyFill="1" applyBorder="1" applyAlignment="1">
      <alignment horizontal="center" vertical="center"/>
    </xf>
    <xf numFmtId="0" fontId="21" fillId="11" borderId="7" xfId="0" applyFont="1" applyFill="1" applyBorder="1" applyAlignment="1">
      <alignment horizontal="left" vertical="center" wrapText="1"/>
    </xf>
    <xf numFmtId="0" fontId="25" fillId="6" borderId="7" xfId="0" applyFont="1" applyFill="1" applyBorder="1" applyAlignment="1">
      <alignment horizontal="center" vertical="center" wrapText="1"/>
    </xf>
    <xf numFmtId="164" fontId="8" fillId="4" borderId="7" xfId="0" applyNumberFormat="1" applyFont="1" applyFill="1" applyBorder="1"/>
    <xf numFmtId="164" fontId="7" fillId="14" borderId="7" xfId="0" applyNumberFormat="1" applyFont="1" applyFill="1" applyBorder="1"/>
    <xf numFmtId="164" fontId="9" fillId="14" borderId="7" xfId="0" applyNumberFormat="1" applyFont="1" applyFill="1" applyBorder="1"/>
    <xf numFmtId="0" fontId="8" fillId="4" borderId="7" xfId="0" applyFont="1" applyFill="1" applyBorder="1" applyAlignment="1">
      <alignment wrapText="1"/>
    </xf>
    <xf numFmtId="164" fontId="10" fillId="4" borderId="7" xfId="0" applyNumberFormat="1" applyFont="1" applyFill="1" applyBorder="1"/>
    <xf numFmtId="0" fontId="11" fillId="5" borderId="7" xfId="0" applyFont="1" applyFill="1" applyBorder="1" applyAlignment="1">
      <alignment horizontal="left" vertical="center"/>
    </xf>
    <xf numFmtId="164" fontId="12" fillId="5" borderId="7" xfId="0" applyNumberFormat="1" applyFont="1" applyFill="1" applyBorder="1" applyAlignment="1">
      <alignment horizontal="center" vertical="center"/>
    </xf>
    <xf numFmtId="164" fontId="13" fillId="5" borderId="7" xfId="0" applyNumberFormat="1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left" vertical="center"/>
    </xf>
    <xf numFmtId="164" fontId="16" fillId="2" borderId="3" xfId="0" applyNumberFormat="1" applyFont="1" applyFill="1" applyBorder="1" applyAlignment="1">
      <alignment horizontal="center" vertical="center"/>
    </xf>
    <xf numFmtId="164" fontId="16" fillId="2" borderId="5" xfId="0" applyNumberFormat="1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left" vertical="center"/>
    </xf>
    <xf numFmtId="164" fontId="16" fillId="15" borderId="2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left" vertical="center"/>
    </xf>
    <xf numFmtId="164" fontId="16" fillId="2" borderId="10" xfId="0" applyNumberFormat="1" applyFont="1" applyFill="1" applyBorder="1" applyAlignment="1">
      <alignment horizontal="center" vertical="center"/>
    </xf>
    <xf numFmtId="164" fontId="16" fillId="2" borderId="11" xfId="0" applyNumberFormat="1" applyFont="1" applyFill="1" applyBorder="1" applyAlignment="1">
      <alignment horizontal="center" vertical="center"/>
    </xf>
    <xf numFmtId="0" fontId="15" fillId="1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E3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542637</xdr:colOff>
      <xdr:row>0</xdr:row>
      <xdr:rowOff>305704</xdr:rowOff>
    </xdr:from>
    <xdr:ext cx="4292312" cy="965769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75273" y="305704"/>
          <a:ext cx="4292312" cy="96576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55"/>
  <sheetViews>
    <sheetView tabSelected="1" topLeftCell="B1" zoomScale="55" zoomScaleNormal="55" workbookViewId="0">
      <selection activeCell="G117" sqref="G117"/>
    </sheetView>
  </sheetViews>
  <sheetFormatPr defaultColWidth="14.453125" defaultRowHeight="15" customHeight="1"/>
  <cols>
    <col min="1" max="3" width="14.453125" style="4"/>
    <col min="4" max="4" width="62.81640625" customWidth="1"/>
    <col min="5" max="6" width="14.54296875" customWidth="1"/>
    <col min="7" max="7" width="13.81640625" customWidth="1"/>
    <col min="8" max="8" width="14.54296875" customWidth="1"/>
    <col min="9" max="9" width="14.453125" customWidth="1"/>
    <col min="10" max="17" width="14.54296875" customWidth="1"/>
    <col min="18" max="29" width="8.81640625" customWidth="1"/>
  </cols>
  <sheetData>
    <row r="1" spans="1:30" ht="138" customHeight="1">
      <c r="A1" s="10"/>
      <c r="B1" s="10"/>
      <c r="C1" s="10"/>
      <c r="D1" s="7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13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36" customHeight="1">
      <c r="A2" s="10"/>
      <c r="B2" s="10"/>
      <c r="C2" s="10"/>
      <c r="D2" s="8" t="s">
        <v>77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14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ht="9.65" customHeight="1">
      <c r="A3" s="10"/>
      <c r="B3" s="10"/>
      <c r="C3" s="10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0" ht="24.75" customHeight="1">
      <c r="A4" s="10"/>
      <c r="B4" s="10"/>
      <c r="C4" s="10"/>
      <c r="D4" s="59" t="s">
        <v>90</v>
      </c>
      <c r="E4" s="27" t="s">
        <v>0</v>
      </c>
      <c r="F4" s="27" t="s">
        <v>1</v>
      </c>
      <c r="G4" s="27" t="s">
        <v>2</v>
      </c>
      <c r="H4" s="27" t="s">
        <v>3</v>
      </c>
      <c r="I4" s="27" t="s">
        <v>4</v>
      </c>
      <c r="J4" s="27" t="s">
        <v>5</v>
      </c>
      <c r="K4" s="27" t="s">
        <v>6</v>
      </c>
      <c r="L4" s="27" t="s">
        <v>7</v>
      </c>
      <c r="M4" s="27" t="s">
        <v>8</v>
      </c>
      <c r="N4" s="27" t="s">
        <v>9</v>
      </c>
      <c r="O4" s="27" t="s">
        <v>10</v>
      </c>
      <c r="P4" s="27" t="s">
        <v>11</v>
      </c>
      <c r="Q4" s="60" t="s">
        <v>81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 ht="21.65" customHeight="1">
      <c r="A5" s="10"/>
      <c r="B5" s="10"/>
      <c r="C5" s="10"/>
      <c r="D5" s="20" t="s">
        <v>79</v>
      </c>
      <c r="E5" s="61">
        <v>0</v>
      </c>
      <c r="F5" s="62">
        <v>0</v>
      </c>
      <c r="G5" s="62">
        <v>0</v>
      </c>
      <c r="H5" s="62">
        <v>0</v>
      </c>
      <c r="I5" s="62">
        <v>0</v>
      </c>
      <c r="J5" s="62">
        <v>0</v>
      </c>
      <c r="K5" s="62">
        <v>0</v>
      </c>
      <c r="L5" s="62">
        <v>0</v>
      </c>
      <c r="M5" s="62">
        <v>0</v>
      </c>
      <c r="N5" s="62">
        <v>0</v>
      </c>
      <c r="O5" s="62">
        <v>0</v>
      </c>
      <c r="P5" s="62">
        <v>0</v>
      </c>
      <c r="Q5" s="63">
        <f>SUM(E5:P5)</f>
        <v>0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24" customHeight="1">
      <c r="A6" s="10"/>
      <c r="B6" s="10"/>
      <c r="C6" s="10"/>
      <c r="D6" s="18" t="s">
        <v>13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5">
        <v>0</v>
      </c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22.5" customHeight="1">
      <c r="A7" s="10"/>
      <c r="B7" s="10"/>
      <c r="C7" s="10"/>
      <c r="D7" s="64" t="s">
        <v>14</v>
      </c>
      <c r="E7" s="61">
        <v>0</v>
      </c>
      <c r="F7" s="61">
        <v>0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  <c r="P7" s="61">
        <v>0</v>
      </c>
      <c r="Q7" s="65">
        <v>0</v>
      </c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22" customHeight="1">
      <c r="A8" s="10"/>
      <c r="B8" s="10"/>
      <c r="C8" s="10"/>
      <c r="D8" s="21" t="s">
        <v>80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5">
        <v>0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22.5" customHeight="1">
      <c r="A9" s="10"/>
      <c r="B9" s="10"/>
      <c r="C9" s="10"/>
      <c r="D9" s="64" t="s">
        <v>15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5">
        <v>0</v>
      </c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24" customHeight="1">
      <c r="A10" s="10"/>
      <c r="B10" s="10"/>
      <c r="C10" s="10"/>
      <c r="D10" s="18" t="s">
        <v>16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5">
        <v>0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22" customHeight="1">
      <c r="A11" s="10"/>
      <c r="B11" s="10"/>
      <c r="C11" s="10"/>
      <c r="D11" s="64" t="s">
        <v>17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  <c r="P11" s="61">
        <v>0</v>
      </c>
      <c r="Q11" s="65">
        <v>0</v>
      </c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ht="26.15" customHeight="1">
      <c r="A12" s="10"/>
      <c r="B12" s="10"/>
      <c r="C12" s="10"/>
      <c r="D12" s="18" t="s">
        <v>18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5">
        <v>0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ht="24.65" customHeight="1">
      <c r="A13" s="10"/>
      <c r="B13" s="10"/>
      <c r="C13" s="10"/>
      <c r="D13" s="64" t="s">
        <v>19</v>
      </c>
      <c r="E13" s="61">
        <v>0</v>
      </c>
      <c r="F13" s="61">
        <v>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  <c r="P13" s="61">
        <v>0</v>
      </c>
      <c r="Q13" s="65">
        <v>0</v>
      </c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ht="30" customHeight="1">
      <c r="A14" s="10"/>
      <c r="B14" s="10"/>
      <c r="C14" s="10"/>
      <c r="D14" s="66" t="s">
        <v>20</v>
      </c>
      <c r="E14" s="67">
        <f t="shared" ref="E14:Q14" si="0">SUM(E5:E13)</f>
        <v>0</v>
      </c>
      <c r="F14" s="67">
        <f t="shared" si="0"/>
        <v>0</v>
      </c>
      <c r="G14" s="67">
        <f t="shared" si="0"/>
        <v>0</v>
      </c>
      <c r="H14" s="67">
        <f t="shared" si="0"/>
        <v>0</v>
      </c>
      <c r="I14" s="67">
        <f t="shared" si="0"/>
        <v>0</v>
      </c>
      <c r="J14" s="67">
        <f t="shared" si="0"/>
        <v>0</v>
      </c>
      <c r="K14" s="67">
        <f t="shared" si="0"/>
        <v>0</v>
      </c>
      <c r="L14" s="67">
        <f t="shared" si="0"/>
        <v>0</v>
      </c>
      <c r="M14" s="67">
        <f t="shared" si="0"/>
        <v>0</v>
      </c>
      <c r="N14" s="67">
        <f t="shared" si="0"/>
        <v>0</v>
      </c>
      <c r="O14" s="67">
        <f t="shared" si="0"/>
        <v>0</v>
      </c>
      <c r="P14" s="67">
        <f t="shared" si="0"/>
        <v>0</v>
      </c>
      <c r="Q14" s="68">
        <f t="shared" si="0"/>
        <v>0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s="2" customFormat="1" ht="23.5" customHeight="1">
      <c r="A15" s="9"/>
      <c r="B15" s="9"/>
      <c r="C15" s="9"/>
      <c r="D15" s="56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8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35.5" customHeight="1">
      <c r="A16" s="10"/>
      <c r="B16" s="10"/>
      <c r="C16" s="10"/>
      <c r="D16" s="50" t="s">
        <v>78</v>
      </c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ht="9.65" customHeight="1">
      <c r="A17" s="10"/>
      <c r="B17" s="10"/>
      <c r="C17" s="10"/>
      <c r="D17" s="52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ht="23.15" customHeight="1">
      <c r="A18" s="10"/>
      <c r="B18" s="10"/>
      <c r="C18" s="10"/>
      <c r="D18" s="54" t="s">
        <v>22</v>
      </c>
      <c r="E18" s="27" t="s">
        <v>0</v>
      </c>
      <c r="F18" s="27" t="s">
        <v>1</v>
      </c>
      <c r="G18" s="27" t="s">
        <v>2</v>
      </c>
      <c r="H18" s="27" t="s">
        <v>3</v>
      </c>
      <c r="I18" s="27" t="s">
        <v>4</v>
      </c>
      <c r="J18" s="27" t="s">
        <v>5</v>
      </c>
      <c r="K18" s="27" t="s">
        <v>6</v>
      </c>
      <c r="L18" s="27" t="s">
        <v>7</v>
      </c>
      <c r="M18" s="27" t="s">
        <v>8</v>
      </c>
      <c r="N18" s="27" t="s">
        <v>9</v>
      </c>
      <c r="O18" s="27" t="s">
        <v>10</v>
      </c>
      <c r="P18" s="27" t="s">
        <v>11</v>
      </c>
      <c r="Q18" s="27" t="s">
        <v>12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ht="24" customHeight="1">
      <c r="A19" s="10"/>
      <c r="B19" s="10"/>
      <c r="C19" s="10"/>
      <c r="D19" s="18" t="s">
        <v>23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23">
        <f t="shared" ref="Q19:Q23" si="1">SUM(E19:P19)</f>
        <v>0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ht="23.5" customHeight="1">
      <c r="A20" s="10"/>
      <c r="B20" s="10"/>
      <c r="C20" s="10"/>
      <c r="D20" s="39" t="s">
        <v>82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2">
        <f t="shared" si="1"/>
        <v>0</v>
      </c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24.65" customHeight="1">
      <c r="A21" s="10"/>
      <c r="B21" s="10"/>
      <c r="C21" s="10"/>
      <c r="D21" s="55" t="s">
        <v>24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4">
        <v>0</v>
      </c>
      <c r="L21" s="44">
        <v>0</v>
      </c>
      <c r="M21" s="44">
        <v>0</v>
      </c>
      <c r="N21" s="44">
        <v>0</v>
      </c>
      <c r="O21" s="44">
        <v>0</v>
      </c>
      <c r="P21" s="44">
        <v>0</v>
      </c>
      <c r="Q21" s="45">
        <f t="shared" si="1"/>
        <v>0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24.65" customHeight="1">
      <c r="A22" s="10"/>
      <c r="B22" s="10"/>
      <c r="C22" s="10"/>
      <c r="D22" s="15" t="s">
        <v>25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f t="shared" si="1"/>
        <v>0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25" customHeight="1">
      <c r="A23" s="10"/>
      <c r="B23" s="10"/>
      <c r="C23" s="10"/>
      <c r="D23" s="18" t="s">
        <v>19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23">
        <f t="shared" si="1"/>
        <v>0</v>
      </c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24" customHeight="1">
      <c r="A24" s="10"/>
      <c r="B24" s="10"/>
      <c r="C24" s="10"/>
      <c r="D24" s="36" t="s">
        <v>21</v>
      </c>
      <c r="E24" s="32">
        <f t="shared" ref="E24:Q24" si="2">SUM(E19:E23)</f>
        <v>0</v>
      </c>
      <c r="F24" s="32">
        <f t="shared" si="2"/>
        <v>0</v>
      </c>
      <c r="G24" s="32">
        <f t="shared" si="2"/>
        <v>0</v>
      </c>
      <c r="H24" s="32">
        <f t="shared" si="2"/>
        <v>0</v>
      </c>
      <c r="I24" s="32">
        <f t="shared" si="2"/>
        <v>0</v>
      </c>
      <c r="J24" s="32">
        <f t="shared" si="2"/>
        <v>0</v>
      </c>
      <c r="K24" s="32">
        <f t="shared" si="2"/>
        <v>0</v>
      </c>
      <c r="L24" s="32">
        <f t="shared" si="2"/>
        <v>0</v>
      </c>
      <c r="M24" s="32">
        <f t="shared" si="2"/>
        <v>0</v>
      </c>
      <c r="N24" s="32">
        <f t="shared" si="2"/>
        <v>0</v>
      </c>
      <c r="O24" s="32">
        <f t="shared" si="2"/>
        <v>0</v>
      </c>
      <c r="P24" s="32">
        <f t="shared" si="2"/>
        <v>0</v>
      </c>
      <c r="Q24" s="32">
        <f t="shared" si="2"/>
        <v>0</v>
      </c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" customHeight="1">
      <c r="A25" s="10"/>
      <c r="B25" s="10"/>
      <c r="C25" s="10"/>
      <c r="D25" s="37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28" customHeight="1">
      <c r="A26" s="10"/>
      <c r="B26" s="10"/>
      <c r="C26" s="10"/>
      <c r="D26" s="38" t="s">
        <v>26</v>
      </c>
      <c r="E26" s="27" t="s">
        <v>0</v>
      </c>
      <c r="F26" s="27" t="s">
        <v>1</v>
      </c>
      <c r="G26" s="27" t="s">
        <v>2</v>
      </c>
      <c r="H26" s="27" t="s">
        <v>3</v>
      </c>
      <c r="I26" s="27" t="s">
        <v>4</v>
      </c>
      <c r="J26" s="27" t="s">
        <v>5</v>
      </c>
      <c r="K26" s="27" t="s">
        <v>6</v>
      </c>
      <c r="L26" s="27" t="s">
        <v>7</v>
      </c>
      <c r="M26" s="27" t="s">
        <v>8</v>
      </c>
      <c r="N26" s="27" t="s">
        <v>9</v>
      </c>
      <c r="O26" s="27" t="s">
        <v>10</v>
      </c>
      <c r="P26" s="27" t="s">
        <v>11</v>
      </c>
      <c r="Q26" s="27" t="s">
        <v>12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24.65" customHeight="1">
      <c r="A27" s="10"/>
      <c r="B27" s="10"/>
      <c r="C27" s="10"/>
      <c r="D27" s="48" t="s">
        <v>27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2">
        <f t="shared" ref="Q27:Q40" si="3">SUM(E27:P27)</f>
        <v>0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24" customHeight="1">
      <c r="A28" s="10"/>
      <c r="B28" s="10"/>
      <c r="C28" s="10"/>
      <c r="D28" s="18" t="s">
        <v>28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23">
        <f t="shared" si="3"/>
        <v>0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24.65" customHeight="1">
      <c r="A29" s="10"/>
      <c r="B29" s="10"/>
      <c r="C29" s="10"/>
      <c r="D29" s="15" t="s">
        <v>29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2">
        <f t="shared" si="3"/>
        <v>0</v>
      </c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24" customHeight="1">
      <c r="A30" s="10"/>
      <c r="B30" s="10"/>
      <c r="C30" s="10"/>
      <c r="D30" s="18" t="s">
        <v>30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23">
        <f t="shared" si="3"/>
        <v>0</v>
      </c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25.5" customHeight="1">
      <c r="A31" s="10"/>
      <c r="B31" s="10"/>
      <c r="C31" s="10"/>
      <c r="D31" s="15" t="s">
        <v>31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2">
        <f t="shared" si="3"/>
        <v>0</v>
      </c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24" customHeight="1">
      <c r="A32" s="10"/>
      <c r="B32" s="10"/>
      <c r="C32" s="10"/>
      <c r="D32" s="18" t="s">
        <v>32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23">
        <f t="shared" si="3"/>
        <v>0</v>
      </c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23.15" customHeight="1">
      <c r="A33" s="10"/>
      <c r="B33" s="10"/>
      <c r="C33" s="10"/>
      <c r="D33" s="15" t="s">
        <v>33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2">
        <f t="shared" si="3"/>
        <v>0</v>
      </c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24" customHeight="1">
      <c r="A34" s="10"/>
      <c r="B34" s="10"/>
      <c r="C34" s="10"/>
      <c r="D34" s="18" t="s">
        <v>34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23">
        <f t="shared" si="3"/>
        <v>0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24" customHeight="1">
      <c r="A35" s="10"/>
      <c r="B35" s="10"/>
      <c r="C35" s="10"/>
      <c r="D35" s="15" t="s">
        <v>35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2">
        <f t="shared" si="3"/>
        <v>0</v>
      </c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24" customHeight="1">
      <c r="A36" s="10"/>
      <c r="B36" s="10"/>
      <c r="C36" s="10"/>
      <c r="D36" s="18" t="s">
        <v>36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23">
        <f t="shared" si="3"/>
        <v>0</v>
      </c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24" customHeight="1">
      <c r="A37" s="10"/>
      <c r="B37" s="10"/>
      <c r="C37" s="10"/>
      <c r="D37" s="15" t="s">
        <v>37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2">
        <f t="shared" si="3"/>
        <v>0</v>
      </c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25.5" customHeight="1">
      <c r="A38" s="10"/>
      <c r="B38" s="10"/>
      <c r="C38" s="10"/>
      <c r="D38" s="18" t="s">
        <v>38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23">
        <f t="shared" si="3"/>
        <v>0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24.65" customHeight="1">
      <c r="A39" s="10"/>
      <c r="B39" s="10"/>
      <c r="C39" s="10"/>
      <c r="D39" s="15" t="s">
        <v>39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2">
        <f t="shared" si="3"/>
        <v>0</v>
      </c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24" customHeight="1">
      <c r="A40" s="10"/>
      <c r="B40" s="10"/>
      <c r="C40" s="10"/>
      <c r="D40" s="49" t="s">
        <v>19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23">
        <f t="shared" si="3"/>
        <v>0</v>
      </c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24" customHeight="1">
      <c r="A41" s="10"/>
      <c r="B41" s="10"/>
      <c r="C41" s="10"/>
      <c r="D41" s="36" t="s">
        <v>21</v>
      </c>
      <c r="E41" s="32">
        <f t="shared" ref="E41:Q41" si="4">SUM(E27:E40)</f>
        <v>0</v>
      </c>
      <c r="F41" s="32">
        <f t="shared" si="4"/>
        <v>0</v>
      </c>
      <c r="G41" s="32">
        <f t="shared" si="4"/>
        <v>0</v>
      </c>
      <c r="H41" s="32">
        <f t="shared" si="4"/>
        <v>0</v>
      </c>
      <c r="I41" s="32">
        <f t="shared" si="4"/>
        <v>0</v>
      </c>
      <c r="J41" s="32">
        <f t="shared" si="4"/>
        <v>0</v>
      </c>
      <c r="K41" s="32">
        <f t="shared" si="4"/>
        <v>0</v>
      </c>
      <c r="L41" s="32">
        <f t="shared" si="4"/>
        <v>0</v>
      </c>
      <c r="M41" s="32">
        <f t="shared" si="4"/>
        <v>0</v>
      </c>
      <c r="N41" s="32">
        <f t="shared" si="4"/>
        <v>0</v>
      </c>
      <c r="O41" s="32">
        <f t="shared" si="4"/>
        <v>0</v>
      </c>
      <c r="P41" s="32">
        <f t="shared" si="4"/>
        <v>0</v>
      </c>
      <c r="Q41" s="32">
        <f t="shared" si="4"/>
        <v>0</v>
      </c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" customHeight="1">
      <c r="A42" s="10"/>
      <c r="B42" s="10"/>
      <c r="C42" s="10"/>
      <c r="D42" s="37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29.15" customHeight="1">
      <c r="A43" s="10"/>
      <c r="B43" s="10"/>
      <c r="C43" s="10"/>
      <c r="D43" s="38" t="s">
        <v>40</v>
      </c>
      <c r="E43" s="27" t="s">
        <v>0</v>
      </c>
      <c r="F43" s="27" t="s">
        <v>1</v>
      </c>
      <c r="G43" s="27" t="s">
        <v>2</v>
      </c>
      <c r="H43" s="27" t="s">
        <v>3</v>
      </c>
      <c r="I43" s="27" t="s">
        <v>4</v>
      </c>
      <c r="J43" s="27" t="s">
        <v>5</v>
      </c>
      <c r="K43" s="27" t="s">
        <v>6</v>
      </c>
      <c r="L43" s="27" t="s">
        <v>7</v>
      </c>
      <c r="M43" s="27" t="s">
        <v>8</v>
      </c>
      <c r="N43" s="27" t="s">
        <v>9</v>
      </c>
      <c r="O43" s="27" t="s">
        <v>10</v>
      </c>
      <c r="P43" s="27" t="s">
        <v>11</v>
      </c>
      <c r="Q43" s="27" t="s">
        <v>12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24" customHeight="1">
      <c r="A44" s="10"/>
      <c r="B44" s="10"/>
      <c r="C44" s="10"/>
      <c r="D44" s="18" t="s">
        <v>41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23">
        <f t="shared" ref="Q44:Q48" si="5">SUM(E44:P44)</f>
        <v>0</v>
      </c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24" customHeight="1">
      <c r="A45" s="10"/>
      <c r="B45" s="10"/>
      <c r="C45" s="10"/>
      <c r="D45" s="15" t="s">
        <v>42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2">
        <f t="shared" si="5"/>
        <v>0</v>
      </c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25" customHeight="1">
      <c r="A46" s="10"/>
      <c r="B46" s="10"/>
      <c r="C46" s="10"/>
      <c r="D46" s="18" t="s">
        <v>43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23">
        <f t="shared" si="5"/>
        <v>0</v>
      </c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26.15" customHeight="1">
      <c r="A47" s="10"/>
      <c r="B47" s="10"/>
      <c r="C47" s="10"/>
      <c r="D47" s="15" t="s">
        <v>44</v>
      </c>
      <c r="E47" s="31">
        <v>0</v>
      </c>
      <c r="F47" s="31">
        <v>0</v>
      </c>
      <c r="G47" s="31">
        <v>0</v>
      </c>
      <c r="H47" s="31">
        <v>0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2">
        <f t="shared" si="5"/>
        <v>0</v>
      </c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25" customHeight="1">
      <c r="A48" s="10"/>
      <c r="B48" s="10"/>
      <c r="C48" s="10"/>
      <c r="D48" s="18" t="s">
        <v>19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23">
        <f t="shared" si="5"/>
        <v>0</v>
      </c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25" customHeight="1">
      <c r="A49" s="10"/>
      <c r="B49" s="10"/>
      <c r="C49" s="10"/>
      <c r="D49" s="36" t="s">
        <v>21</v>
      </c>
      <c r="E49" s="32">
        <f t="shared" ref="E49:Q49" si="6">SUM(E44:E48)</f>
        <v>0</v>
      </c>
      <c r="F49" s="32">
        <f t="shared" si="6"/>
        <v>0</v>
      </c>
      <c r="G49" s="32">
        <f t="shared" si="6"/>
        <v>0</v>
      </c>
      <c r="H49" s="32">
        <f t="shared" si="6"/>
        <v>0</v>
      </c>
      <c r="I49" s="32">
        <f t="shared" si="6"/>
        <v>0</v>
      </c>
      <c r="J49" s="32">
        <f t="shared" si="6"/>
        <v>0</v>
      </c>
      <c r="K49" s="32">
        <f t="shared" si="6"/>
        <v>0</v>
      </c>
      <c r="L49" s="32">
        <f t="shared" si="6"/>
        <v>0</v>
      </c>
      <c r="M49" s="32">
        <f t="shared" si="6"/>
        <v>0</v>
      </c>
      <c r="N49" s="32">
        <f t="shared" si="6"/>
        <v>0</v>
      </c>
      <c r="O49" s="32">
        <f t="shared" si="6"/>
        <v>0</v>
      </c>
      <c r="P49" s="32">
        <f t="shared" si="6"/>
        <v>0</v>
      </c>
      <c r="Q49" s="32">
        <f t="shared" si="6"/>
        <v>0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6.5" customHeight="1">
      <c r="A50" s="10"/>
      <c r="B50" s="10"/>
      <c r="C50" s="10"/>
      <c r="D50" s="37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27.65" customHeight="1">
      <c r="A51" s="10"/>
      <c r="B51" s="10"/>
      <c r="C51" s="10"/>
      <c r="D51" s="38" t="s">
        <v>45</v>
      </c>
      <c r="E51" s="27" t="s">
        <v>0</v>
      </c>
      <c r="F51" s="27" t="s">
        <v>1</v>
      </c>
      <c r="G51" s="27" t="s">
        <v>2</v>
      </c>
      <c r="H51" s="27" t="s">
        <v>3</v>
      </c>
      <c r="I51" s="27" t="s">
        <v>4</v>
      </c>
      <c r="J51" s="27" t="s">
        <v>5</v>
      </c>
      <c r="K51" s="27" t="s">
        <v>6</v>
      </c>
      <c r="L51" s="27" t="s">
        <v>7</v>
      </c>
      <c r="M51" s="27" t="s">
        <v>8</v>
      </c>
      <c r="N51" s="27" t="s">
        <v>9</v>
      </c>
      <c r="O51" s="27" t="s">
        <v>10</v>
      </c>
      <c r="P51" s="27" t="s">
        <v>11</v>
      </c>
      <c r="Q51" s="27" t="s">
        <v>12</v>
      </c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24" customHeight="1">
      <c r="A52" s="10"/>
      <c r="B52" s="10"/>
      <c r="C52" s="10"/>
      <c r="D52" s="47" t="s">
        <v>46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23">
        <f t="shared" ref="Q52:Q57" si="7">SUM(E52:P52)</f>
        <v>0</v>
      </c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23.5" customHeight="1">
      <c r="A53" s="10"/>
      <c r="B53" s="10"/>
      <c r="C53" s="10"/>
      <c r="D53" s="15" t="s">
        <v>47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2">
        <f t="shared" si="7"/>
        <v>0</v>
      </c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23.5" customHeight="1">
      <c r="A54" s="10"/>
      <c r="B54" s="10"/>
      <c r="C54" s="10"/>
      <c r="D54" s="18" t="s">
        <v>48</v>
      </c>
      <c r="E54" s="19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23">
        <f t="shared" si="7"/>
        <v>0</v>
      </c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24" customHeight="1">
      <c r="A55" s="10"/>
      <c r="B55" s="10"/>
      <c r="C55" s="10"/>
      <c r="D55" s="15" t="s">
        <v>49</v>
      </c>
      <c r="E55" s="31">
        <v>0</v>
      </c>
      <c r="F55" s="31">
        <v>0</v>
      </c>
      <c r="G55" s="31">
        <v>0</v>
      </c>
      <c r="H55" s="31">
        <v>0</v>
      </c>
      <c r="I55" s="31">
        <v>0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2">
        <f t="shared" si="7"/>
        <v>0</v>
      </c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25" customHeight="1">
      <c r="A56" s="10"/>
      <c r="B56" s="10"/>
      <c r="C56" s="10"/>
      <c r="D56" s="18" t="s">
        <v>50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23">
        <f t="shared" si="7"/>
        <v>0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24" customHeight="1">
      <c r="A57" s="10"/>
      <c r="B57" s="10"/>
      <c r="C57" s="10"/>
      <c r="D57" s="18" t="s">
        <v>19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23">
        <f t="shared" si="7"/>
        <v>0</v>
      </c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24" customHeight="1">
      <c r="A58" s="10"/>
      <c r="B58" s="10"/>
      <c r="C58" s="10"/>
      <c r="D58" s="36" t="s">
        <v>21</v>
      </c>
      <c r="E58" s="32">
        <f t="shared" ref="E58:Q58" si="8">SUM(E52:E57)</f>
        <v>0</v>
      </c>
      <c r="F58" s="32">
        <f t="shared" si="8"/>
        <v>0</v>
      </c>
      <c r="G58" s="32">
        <f t="shared" si="8"/>
        <v>0</v>
      </c>
      <c r="H58" s="32">
        <f t="shared" si="8"/>
        <v>0</v>
      </c>
      <c r="I58" s="32">
        <f t="shared" si="8"/>
        <v>0</v>
      </c>
      <c r="J58" s="32">
        <f t="shared" si="8"/>
        <v>0</v>
      </c>
      <c r="K58" s="32">
        <f t="shared" si="8"/>
        <v>0</v>
      </c>
      <c r="L58" s="32">
        <f t="shared" si="8"/>
        <v>0</v>
      </c>
      <c r="M58" s="32">
        <f t="shared" si="8"/>
        <v>0</v>
      </c>
      <c r="N58" s="32">
        <f t="shared" si="8"/>
        <v>0</v>
      </c>
      <c r="O58" s="32">
        <f t="shared" si="8"/>
        <v>0</v>
      </c>
      <c r="P58" s="32">
        <f t="shared" si="8"/>
        <v>0</v>
      </c>
      <c r="Q58" s="32">
        <f t="shared" si="8"/>
        <v>0</v>
      </c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8" customHeight="1">
      <c r="A59" s="10"/>
      <c r="B59" s="10"/>
      <c r="C59" s="10"/>
      <c r="D59" s="37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29.15" customHeight="1">
      <c r="A60" s="10"/>
      <c r="B60" s="10"/>
      <c r="C60" s="10"/>
      <c r="D60" s="38" t="s">
        <v>51</v>
      </c>
      <c r="E60" s="27" t="s">
        <v>0</v>
      </c>
      <c r="F60" s="27" t="s">
        <v>1</v>
      </c>
      <c r="G60" s="27" t="s">
        <v>2</v>
      </c>
      <c r="H60" s="27" t="s">
        <v>3</v>
      </c>
      <c r="I60" s="27" t="s">
        <v>4</v>
      </c>
      <c r="J60" s="27" t="s">
        <v>5</v>
      </c>
      <c r="K60" s="27" t="s">
        <v>6</v>
      </c>
      <c r="L60" s="27" t="s">
        <v>7</v>
      </c>
      <c r="M60" s="27" t="s">
        <v>8</v>
      </c>
      <c r="N60" s="27" t="s">
        <v>9</v>
      </c>
      <c r="O60" s="27" t="s">
        <v>10</v>
      </c>
      <c r="P60" s="27" t="s">
        <v>11</v>
      </c>
      <c r="Q60" s="27" t="s">
        <v>12</v>
      </c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24" customHeight="1">
      <c r="A61" s="10"/>
      <c r="B61" s="10"/>
      <c r="C61" s="10"/>
      <c r="D61" s="15" t="s">
        <v>52</v>
      </c>
      <c r="E61" s="31">
        <v>0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2">
        <f t="shared" ref="Q61:Q69" si="9">SUM(E61:P61)</f>
        <v>0</v>
      </c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24" customHeight="1">
      <c r="A62" s="10"/>
      <c r="B62" s="10"/>
      <c r="C62" s="10"/>
      <c r="D62" s="18" t="s">
        <v>53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23">
        <f t="shared" si="9"/>
        <v>0</v>
      </c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26.15" customHeight="1">
      <c r="A63" s="10"/>
      <c r="B63" s="10"/>
      <c r="C63" s="10"/>
      <c r="D63" s="39" t="s">
        <v>83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2">
        <f t="shared" si="9"/>
        <v>0</v>
      </c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25" customHeight="1">
      <c r="A64" s="10"/>
      <c r="B64" s="10"/>
      <c r="C64" s="10"/>
      <c r="D64" s="21" t="s">
        <v>84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23">
        <f t="shared" si="9"/>
        <v>0</v>
      </c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25" customHeight="1">
      <c r="A65" s="10"/>
      <c r="B65" s="10"/>
      <c r="C65" s="10"/>
      <c r="D65" s="15" t="s">
        <v>54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2">
        <f t="shared" si="9"/>
        <v>0</v>
      </c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24" customHeight="1">
      <c r="A66" s="10"/>
      <c r="B66" s="10"/>
      <c r="C66" s="10"/>
      <c r="D66" s="18" t="s">
        <v>55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23">
        <f t="shared" si="9"/>
        <v>0</v>
      </c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22.5" customHeight="1">
      <c r="A67" s="10"/>
      <c r="B67" s="10"/>
      <c r="C67" s="10"/>
      <c r="D67" s="15" t="s">
        <v>56</v>
      </c>
      <c r="E67" s="31">
        <v>0</v>
      </c>
      <c r="F67" s="31">
        <v>0</v>
      </c>
      <c r="G67" s="31">
        <v>0</v>
      </c>
      <c r="H67" s="31">
        <v>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2">
        <f t="shared" si="9"/>
        <v>0</v>
      </c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25" customHeight="1">
      <c r="A68" s="10"/>
      <c r="B68" s="10"/>
      <c r="C68" s="10"/>
      <c r="D68" s="18" t="s">
        <v>57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23">
        <f t="shared" si="9"/>
        <v>0</v>
      </c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25" customHeight="1">
      <c r="A69" s="10"/>
      <c r="B69" s="10"/>
      <c r="C69" s="10"/>
      <c r="D69" s="15" t="s">
        <v>19</v>
      </c>
      <c r="E69" s="31">
        <v>0</v>
      </c>
      <c r="F69" s="31">
        <v>0</v>
      </c>
      <c r="G69" s="31">
        <v>0</v>
      </c>
      <c r="H69" s="31">
        <v>0</v>
      </c>
      <c r="I69" s="31">
        <v>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2">
        <f t="shared" si="9"/>
        <v>0</v>
      </c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24" customHeight="1">
      <c r="A70" s="10"/>
      <c r="B70" s="10"/>
      <c r="C70" s="10"/>
      <c r="D70" s="22" t="s">
        <v>21</v>
      </c>
      <c r="E70" s="23">
        <f t="shared" ref="E70:Q70" si="10">SUM(E61:E69)</f>
        <v>0</v>
      </c>
      <c r="F70" s="23">
        <f t="shared" si="10"/>
        <v>0</v>
      </c>
      <c r="G70" s="23">
        <f t="shared" si="10"/>
        <v>0</v>
      </c>
      <c r="H70" s="23">
        <f t="shared" si="10"/>
        <v>0</v>
      </c>
      <c r="I70" s="23">
        <f t="shared" si="10"/>
        <v>0</v>
      </c>
      <c r="J70" s="23">
        <f t="shared" si="10"/>
        <v>0</v>
      </c>
      <c r="K70" s="23">
        <f t="shared" si="10"/>
        <v>0</v>
      </c>
      <c r="L70" s="23">
        <f t="shared" si="10"/>
        <v>0</v>
      </c>
      <c r="M70" s="23">
        <f t="shared" si="10"/>
        <v>0</v>
      </c>
      <c r="N70" s="23">
        <f t="shared" si="10"/>
        <v>0</v>
      </c>
      <c r="O70" s="23">
        <f t="shared" si="10"/>
        <v>0</v>
      </c>
      <c r="P70" s="23">
        <f t="shared" si="10"/>
        <v>0</v>
      </c>
      <c r="Q70" s="23">
        <f t="shared" si="10"/>
        <v>0</v>
      </c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1.15" customHeight="1">
      <c r="A71" s="10"/>
      <c r="B71" s="10"/>
      <c r="C71" s="10"/>
      <c r="D71" s="37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26.5" customHeight="1">
      <c r="A72" s="10"/>
      <c r="B72" s="10"/>
      <c r="C72" s="10"/>
      <c r="D72" s="38" t="s">
        <v>58</v>
      </c>
      <c r="E72" s="27" t="s">
        <v>0</v>
      </c>
      <c r="F72" s="27" t="s">
        <v>1</v>
      </c>
      <c r="G72" s="27" t="s">
        <v>2</v>
      </c>
      <c r="H72" s="27" t="s">
        <v>3</v>
      </c>
      <c r="I72" s="27" t="s">
        <v>4</v>
      </c>
      <c r="J72" s="27" t="s">
        <v>5</v>
      </c>
      <c r="K72" s="27" t="s">
        <v>6</v>
      </c>
      <c r="L72" s="27" t="s">
        <v>7</v>
      </c>
      <c r="M72" s="27" t="s">
        <v>8</v>
      </c>
      <c r="N72" s="27" t="s">
        <v>9</v>
      </c>
      <c r="O72" s="27" t="s">
        <v>10</v>
      </c>
      <c r="P72" s="27" t="s">
        <v>11</v>
      </c>
      <c r="Q72" s="27" t="s">
        <v>12</v>
      </c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24" customHeight="1">
      <c r="A73" s="10"/>
      <c r="B73" s="10"/>
      <c r="C73" s="10"/>
      <c r="D73" s="39" t="s">
        <v>59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2">
        <f t="shared" ref="Q73:Q77" si="11">SUM(E73:P73)</f>
        <v>0</v>
      </c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23.5" customHeight="1">
      <c r="A74" s="10"/>
      <c r="B74" s="10"/>
      <c r="C74" s="10"/>
      <c r="D74" s="21" t="s">
        <v>85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23">
        <f t="shared" si="11"/>
        <v>0</v>
      </c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22.5" customHeight="1">
      <c r="A75" s="10"/>
      <c r="B75" s="10"/>
      <c r="C75" s="10"/>
      <c r="D75" s="40" t="s">
        <v>60</v>
      </c>
      <c r="E75" s="41">
        <v>0</v>
      </c>
      <c r="F75" s="41">
        <v>0</v>
      </c>
      <c r="G75" s="41">
        <v>0</v>
      </c>
      <c r="H75" s="41">
        <v>0</v>
      </c>
      <c r="I75" s="41">
        <v>0</v>
      </c>
      <c r="J75" s="41">
        <v>0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0</v>
      </c>
      <c r="Q75" s="42">
        <f t="shared" si="11"/>
        <v>0</v>
      </c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21.65" customHeight="1">
      <c r="A76" s="10"/>
      <c r="B76" s="10"/>
      <c r="C76" s="10"/>
      <c r="D76" s="43" t="s">
        <v>86</v>
      </c>
      <c r="E76" s="44">
        <v>0</v>
      </c>
      <c r="F76" s="44">
        <v>0</v>
      </c>
      <c r="G76" s="44">
        <v>0</v>
      </c>
      <c r="H76" s="44">
        <v>0</v>
      </c>
      <c r="I76" s="44">
        <v>0</v>
      </c>
      <c r="J76" s="44">
        <v>0</v>
      </c>
      <c r="K76" s="44">
        <v>0</v>
      </c>
      <c r="L76" s="44">
        <v>0</v>
      </c>
      <c r="M76" s="44">
        <v>0</v>
      </c>
      <c r="N76" s="44">
        <v>0</v>
      </c>
      <c r="O76" s="44">
        <v>0</v>
      </c>
      <c r="P76" s="44">
        <v>0</v>
      </c>
      <c r="Q76" s="45">
        <f t="shared" si="11"/>
        <v>0</v>
      </c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23.5" customHeight="1">
      <c r="A77" s="10"/>
      <c r="B77" s="10"/>
      <c r="C77" s="10"/>
      <c r="D77" s="15" t="s">
        <v>19</v>
      </c>
      <c r="E77" s="31">
        <v>0</v>
      </c>
      <c r="F77" s="31">
        <v>0</v>
      </c>
      <c r="G77" s="31">
        <v>0</v>
      </c>
      <c r="H77" s="31">
        <v>0</v>
      </c>
      <c r="I77" s="31">
        <v>0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2">
        <f t="shared" si="11"/>
        <v>0</v>
      </c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24" customHeight="1">
      <c r="A78" s="10"/>
      <c r="B78" s="10"/>
      <c r="C78" s="10"/>
      <c r="D78" s="22" t="s">
        <v>21</v>
      </c>
      <c r="E78" s="23">
        <f t="shared" ref="E78:Q78" si="12">SUM(E73:E77)</f>
        <v>0</v>
      </c>
      <c r="F78" s="23">
        <f t="shared" si="12"/>
        <v>0</v>
      </c>
      <c r="G78" s="23">
        <f t="shared" si="12"/>
        <v>0</v>
      </c>
      <c r="H78" s="23">
        <f t="shared" si="12"/>
        <v>0</v>
      </c>
      <c r="I78" s="23">
        <f t="shared" si="12"/>
        <v>0</v>
      </c>
      <c r="J78" s="23">
        <f t="shared" si="12"/>
        <v>0</v>
      </c>
      <c r="K78" s="23">
        <f t="shared" si="12"/>
        <v>0</v>
      </c>
      <c r="L78" s="23">
        <f t="shared" si="12"/>
        <v>0</v>
      </c>
      <c r="M78" s="23">
        <f t="shared" si="12"/>
        <v>0</v>
      </c>
      <c r="N78" s="23">
        <f t="shared" si="12"/>
        <v>0</v>
      </c>
      <c r="O78" s="23">
        <f t="shared" si="12"/>
        <v>0</v>
      </c>
      <c r="P78" s="23">
        <f t="shared" si="12"/>
        <v>0</v>
      </c>
      <c r="Q78" s="23">
        <f t="shared" si="12"/>
        <v>0</v>
      </c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6" customHeight="1">
      <c r="A79" s="10"/>
      <c r="B79" s="10"/>
      <c r="C79" s="10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26.15" customHeight="1">
      <c r="A80" s="10"/>
      <c r="B80" s="10"/>
      <c r="C80" s="10"/>
      <c r="D80" s="30" t="s">
        <v>61</v>
      </c>
      <c r="E80" s="27" t="s">
        <v>0</v>
      </c>
      <c r="F80" s="27" t="s">
        <v>1</v>
      </c>
      <c r="G80" s="27" t="s">
        <v>2</v>
      </c>
      <c r="H80" s="27" t="s">
        <v>3</v>
      </c>
      <c r="I80" s="27" t="s">
        <v>4</v>
      </c>
      <c r="J80" s="27" t="s">
        <v>5</v>
      </c>
      <c r="K80" s="27" t="s">
        <v>6</v>
      </c>
      <c r="L80" s="27" t="s">
        <v>7</v>
      </c>
      <c r="M80" s="27" t="s">
        <v>8</v>
      </c>
      <c r="N80" s="27" t="s">
        <v>9</v>
      </c>
      <c r="O80" s="27" t="s">
        <v>10</v>
      </c>
      <c r="P80" s="27" t="s">
        <v>11</v>
      </c>
      <c r="Q80" s="27" t="s">
        <v>12</v>
      </c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24" customHeight="1">
      <c r="A81" s="10"/>
      <c r="B81" s="10"/>
      <c r="C81" s="10"/>
      <c r="D81" s="18" t="s">
        <v>62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23">
        <f t="shared" ref="Q81:Q87" si="13">SUM(E81:P81)</f>
        <v>0</v>
      </c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24" customHeight="1">
      <c r="A82" s="10"/>
      <c r="B82" s="10"/>
      <c r="C82" s="10"/>
      <c r="D82" s="15" t="s">
        <v>63</v>
      </c>
      <c r="E82" s="31">
        <v>0</v>
      </c>
      <c r="F82" s="31">
        <v>0</v>
      </c>
      <c r="G82" s="31">
        <v>0</v>
      </c>
      <c r="H82" s="31">
        <v>0</v>
      </c>
      <c r="I82" s="31">
        <v>0</v>
      </c>
      <c r="J82" s="31">
        <v>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2">
        <f t="shared" si="13"/>
        <v>0</v>
      </c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24" customHeight="1">
      <c r="A83" s="10"/>
      <c r="B83" s="10"/>
      <c r="C83" s="10"/>
      <c r="D83" s="33" t="s">
        <v>64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5">
        <f t="shared" si="13"/>
        <v>0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0"/>
    </row>
    <row r="84" spans="1:30" ht="23.5" customHeight="1">
      <c r="A84" s="10"/>
      <c r="B84" s="10"/>
      <c r="C84" s="10"/>
      <c r="D84" s="15" t="s">
        <v>65</v>
      </c>
      <c r="E84" s="31">
        <v>0</v>
      </c>
      <c r="F84" s="31">
        <v>0</v>
      </c>
      <c r="G84" s="31">
        <v>0</v>
      </c>
      <c r="H84" s="31">
        <v>0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2">
        <f t="shared" si="13"/>
        <v>0</v>
      </c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23.5" customHeight="1">
      <c r="A85" s="10"/>
      <c r="B85" s="10"/>
      <c r="C85" s="10"/>
      <c r="D85" s="15" t="s">
        <v>66</v>
      </c>
      <c r="E85" s="31">
        <v>0</v>
      </c>
      <c r="F85" s="31">
        <v>0</v>
      </c>
      <c r="G85" s="31">
        <v>0</v>
      </c>
      <c r="H85" s="31">
        <v>0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2">
        <f t="shared" si="13"/>
        <v>0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23.5" customHeight="1">
      <c r="A86" s="10"/>
      <c r="B86" s="10"/>
      <c r="C86" s="10"/>
      <c r="D86" s="18" t="s">
        <v>67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23">
        <f t="shared" si="13"/>
        <v>0</v>
      </c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23.5" customHeight="1">
      <c r="A87" s="10"/>
      <c r="B87" s="10"/>
      <c r="C87" s="10"/>
      <c r="D87" s="18" t="s">
        <v>19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23">
        <f t="shared" si="13"/>
        <v>0</v>
      </c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24" customHeight="1">
      <c r="A88" s="10"/>
      <c r="B88" s="10"/>
      <c r="C88" s="10"/>
      <c r="D88" s="36" t="s">
        <v>21</v>
      </c>
      <c r="E88" s="32">
        <f t="shared" ref="E88:Q88" si="14">SUM(E81:E87)</f>
        <v>0</v>
      </c>
      <c r="F88" s="32">
        <f t="shared" si="14"/>
        <v>0</v>
      </c>
      <c r="G88" s="32">
        <f t="shared" si="14"/>
        <v>0</v>
      </c>
      <c r="H88" s="32">
        <f t="shared" si="14"/>
        <v>0</v>
      </c>
      <c r="I88" s="32">
        <f t="shared" si="14"/>
        <v>0</v>
      </c>
      <c r="J88" s="32">
        <f t="shared" si="14"/>
        <v>0</v>
      </c>
      <c r="K88" s="32">
        <f t="shared" si="14"/>
        <v>0</v>
      </c>
      <c r="L88" s="32">
        <f t="shared" si="14"/>
        <v>0</v>
      </c>
      <c r="M88" s="32">
        <f t="shared" si="14"/>
        <v>0</v>
      </c>
      <c r="N88" s="32">
        <f t="shared" si="14"/>
        <v>0</v>
      </c>
      <c r="O88" s="32">
        <f t="shared" si="14"/>
        <v>0</v>
      </c>
      <c r="P88" s="32">
        <f t="shared" si="14"/>
        <v>0</v>
      </c>
      <c r="Q88" s="32">
        <f t="shared" si="14"/>
        <v>0</v>
      </c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2.65" customHeight="1">
      <c r="A89" s="10"/>
      <c r="B89" s="10"/>
      <c r="C89" s="10"/>
      <c r="D89" s="28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26.5" customHeight="1">
      <c r="A90" s="10"/>
      <c r="B90" s="10"/>
      <c r="C90" s="10"/>
      <c r="D90" s="69" t="s">
        <v>68</v>
      </c>
      <c r="E90" s="70">
        <f>SUM(E24,E41,E49,E58,E70,E78,E88)</f>
        <v>0</v>
      </c>
      <c r="F90" s="70">
        <f t="shared" ref="F90:Q90" si="15">SUM(F24,F41,F49,F58,F70,F78,F88)</f>
        <v>0</v>
      </c>
      <c r="G90" s="70">
        <f t="shared" si="15"/>
        <v>0</v>
      </c>
      <c r="H90" s="70">
        <f t="shared" si="15"/>
        <v>0</v>
      </c>
      <c r="I90" s="70">
        <f t="shared" si="15"/>
        <v>0</v>
      </c>
      <c r="J90" s="70">
        <f t="shared" si="15"/>
        <v>0</v>
      </c>
      <c r="K90" s="70">
        <f t="shared" si="15"/>
        <v>0</v>
      </c>
      <c r="L90" s="70">
        <f t="shared" si="15"/>
        <v>0</v>
      </c>
      <c r="M90" s="70">
        <f t="shared" si="15"/>
        <v>0</v>
      </c>
      <c r="N90" s="70">
        <f t="shared" si="15"/>
        <v>0</v>
      </c>
      <c r="O90" s="70">
        <f t="shared" si="15"/>
        <v>0</v>
      </c>
      <c r="P90" s="70">
        <f t="shared" si="15"/>
        <v>0</v>
      </c>
      <c r="Q90" s="71">
        <f t="shared" si="15"/>
        <v>0</v>
      </c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s="4" customFormat="1" ht="26.5" customHeight="1">
      <c r="A91" s="10"/>
      <c r="B91" s="10"/>
      <c r="C91" s="10"/>
      <c r="D91" s="72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2.75" customHeight="1">
      <c r="A92" s="10"/>
      <c r="B92" s="10"/>
      <c r="C92" s="10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27.65" customHeight="1">
      <c r="A93" s="10"/>
      <c r="B93" s="10"/>
      <c r="C93" s="10"/>
      <c r="D93" s="74" t="s">
        <v>69</v>
      </c>
      <c r="E93" s="75">
        <f t="shared" ref="E93:Q93" si="16">E14-E90</f>
        <v>0</v>
      </c>
      <c r="F93" s="75">
        <f t="shared" si="16"/>
        <v>0</v>
      </c>
      <c r="G93" s="75">
        <f t="shared" si="16"/>
        <v>0</v>
      </c>
      <c r="H93" s="75">
        <f t="shared" si="16"/>
        <v>0</v>
      </c>
      <c r="I93" s="75">
        <f t="shared" si="16"/>
        <v>0</v>
      </c>
      <c r="J93" s="75">
        <f t="shared" si="16"/>
        <v>0</v>
      </c>
      <c r="K93" s="75">
        <f t="shared" si="16"/>
        <v>0</v>
      </c>
      <c r="L93" s="75">
        <f t="shared" si="16"/>
        <v>0</v>
      </c>
      <c r="M93" s="75">
        <f t="shared" si="16"/>
        <v>0</v>
      </c>
      <c r="N93" s="75">
        <f t="shared" si="16"/>
        <v>0</v>
      </c>
      <c r="O93" s="75">
        <f t="shared" si="16"/>
        <v>0</v>
      </c>
      <c r="P93" s="75">
        <f t="shared" si="16"/>
        <v>0</v>
      </c>
      <c r="Q93" s="76">
        <f t="shared" si="16"/>
        <v>0</v>
      </c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2.65" customHeight="1">
      <c r="A94" s="10"/>
      <c r="B94" s="10"/>
      <c r="C94" s="10"/>
      <c r="D94" s="24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s="3" customFormat="1" ht="36" customHeight="1">
      <c r="A95" s="10"/>
      <c r="B95" s="10"/>
      <c r="C95" s="10"/>
      <c r="D95" s="26" t="s">
        <v>87</v>
      </c>
      <c r="E95" s="27" t="s">
        <v>0</v>
      </c>
      <c r="F95" s="27" t="s">
        <v>1</v>
      </c>
      <c r="G95" s="27" t="s">
        <v>2</v>
      </c>
      <c r="H95" s="27" t="s">
        <v>3</v>
      </c>
      <c r="I95" s="27" t="s">
        <v>4</v>
      </c>
      <c r="J95" s="27" t="s">
        <v>5</v>
      </c>
      <c r="K95" s="27" t="s">
        <v>6</v>
      </c>
      <c r="L95" s="27" t="s">
        <v>7</v>
      </c>
      <c r="M95" s="27" t="s">
        <v>8</v>
      </c>
      <c r="N95" s="27" t="s">
        <v>9</v>
      </c>
      <c r="O95" s="27" t="s">
        <v>10</v>
      </c>
      <c r="P95" s="27" t="s">
        <v>11</v>
      </c>
      <c r="Q95" s="27" t="s">
        <v>12</v>
      </c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7.5" customHeight="1">
      <c r="A96" s="10"/>
      <c r="B96" s="10"/>
      <c r="C96" s="10"/>
      <c r="D96" s="15" t="s">
        <v>70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7">
        <f t="shared" ref="Q96:Q104" si="17">SUM(E96:P96)</f>
        <v>0</v>
      </c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22.5" customHeight="1">
      <c r="A97" s="10"/>
      <c r="B97" s="10"/>
      <c r="C97" s="10"/>
      <c r="D97" s="18" t="s">
        <v>71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7">
        <f t="shared" si="17"/>
        <v>0</v>
      </c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21" customHeight="1">
      <c r="A98" s="10"/>
      <c r="B98" s="10"/>
      <c r="C98" s="10"/>
      <c r="D98" s="15" t="s">
        <v>72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7">
        <f t="shared" si="17"/>
        <v>0</v>
      </c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9" customHeight="1">
      <c r="A99" s="10"/>
      <c r="B99" s="10"/>
      <c r="C99" s="10"/>
      <c r="D99" s="18" t="s">
        <v>73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7">
        <f t="shared" si="17"/>
        <v>0</v>
      </c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21" customHeight="1">
      <c r="A100" s="10"/>
      <c r="B100" s="10"/>
      <c r="C100" s="10"/>
      <c r="D100" s="15" t="s">
        <v>74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7">
        <f t="shared" si="17"/>
        <v>0</v>
      </c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21" customHeight="1">
      <c r="A101" s="10"/>
      <c r="B101" s="10"/>
      <c r="C101" s="10"/>
      <c r="D101" s="18" t="s">
        <v>75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7">
        <f t="shared" si="17"/>
        <v>0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21" customHeight="1">
      <c r="A102" s="10"/>
      <c r="B102" s="10"/>
      <c r="C102" s="10"/>
      <c r="D102" s="20" t="s">
        <v>88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7">
        <f t="shared" si="17"/>
        <v>0</v>
      </c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21" customHeight="1">
      <c r="A103" s="10"/>
      <c r="B103" s="10"/>
      <c r="C103" s="10"/>
      <c r="D103" s="21" t="s">
        <v>89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9" customHeight="1">
      <c r="A104" s="10"/>
      <c r="B104" s="10"/>
      <c r="C104" s="10"/>
      <c r="D104" s="15" t="s">
        <v>76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7">
        <f t="shared" si="17"/>
        <v>0</v>
      </c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24" customHeight="1">
      <c r="A105" s="10"/>
      <c r="B105" s="10"/>
      <c r="C105" s="10"/>
      <c r="D105" s="22" t="s">
        <v>21</v>
      </c>
      <c r="E105" s="23">
        <f t="shared" ref="E105:Q105" si="18">SUM(E96:E104)</f>
        <v>0</v>
      </c>
      <c r="F105" s="23">
        <f t="shared" si="18"/>
        <v>0</v>
      </c>
      <c r="G105" s="23">
        <f t="shared" si="18"/>
        <v>0</v>
      </c>
      <c r="H105" s="23">
        <f t="shared" si="18"/>
        <v>0</v>
      </c>
      <c r="I105" s="23">
        <f t="shared" si="18"/>
        <v>0</v>
      </c>
      <c r="J105" s="23">
        <f t="shared" si="18"/>
        <v>0</v>
      </c>
      <c r="K105" s="23">
        <f t="shared" si="18"/>
        <v>0</v>
      </c>
      <c r="L105" s="23">
        <f t="shared" si="18"/>
        <v>0</v>
      </c>
      <c r="M105" s="23">
        <f t="shared" si="18"/>
        <v>0</v>
      </c>
      <c r="N105" s="23">
        <f t="shared" si="18"/>
        <v>0</v>
      </c>
      <c r="O105" s="23">
        <f t="shared" si="18"/>
        <v>0</v>
      </c>
      <c r="P105" s="23">
        <f t="shared" si="18"/>
        <v>0</v>
      </c>
      <c r="Q105" s="23">
        <f t="shared" si="18"/>
        <v>0</v>
      </c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2.75" customHeight="1"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spans="1:30" ht="12.75" customHeight="1"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spans="1:30" ht="12.75" customHeight="1"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spans="1:30" ht="12.75" customHeight="1"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spans="1:30" ht="12.75" customHeight="1"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 spans="1:30" ht="12.75" customHeight="1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spans="1:30" ht="12.75" customHeight="1"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spans="2:21" ht="12.75" customHeight="1"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spans="2:21" ht="12.75" customHeight="1"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 spans="2:21" ht="12.75" customHeight="1"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spans="2:21" ht="12.75" customHeight="1"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spans="2:21" ht="12.75" customHeight="1"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</row>
    <row r="118" spans="2:21" ht="12.75" customHeight="1"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</row>
    <row r="119" spans="2:21" ht="12.75" customHeight="1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</row>
    <row r="120" spans="2:21" ht="12.75" customHeight="1"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</row>
    <row r="121" spans="2:21" ht="12.75" customHeight="1"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</row>
    <row r="122" spans="2:21" ht="12.75" customHeight="1"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</row>
    <row r="123" spans="2:21" s="10" customFormat="1" ht="15" customHeight="1"/>
    <row r="124" spans="2:21" s="10" customFormat="1" ht="15" customHeight="1"/>
    <row r="125" spans="2:21" s="10" customFormat="1" ht="15" customHeight="1"/>
    <row r="126" spans="2:21" s="10" customFormat="1" ht="15" customHeight="1"/>
    <row r="127" spans="2:21" s="10" customFormat="1" ht="15" customHeight="1"/>
    <row r="128" spans="2:21" s="10" customFormat="1" ht="15" customHeight="1"/>
    <row r="129" s="10" customFormat="1" ht="15" customHeight="1"/>
    <row r="130" s="10" customFormat="1" ht="15" customHeight="1"/>
    <row r="131" s="10" customFormat="1" ht="15" customHeight="1"/>
    <row r="132" s="10" customFormat="1" ht="15" customHeight="1"/>
    <row r="133" s="10" customFormat="1" ht="15" customHeight="1"/>
    <row r="134" s="10" customFormat="1" ht="15" customHeight="1"/>
    <row r="135" s="10" customFormat="1" ht="15" customHeight="1"/>
    <row r="136" s="10" customFormat="1" ht="15" customHeight="1"/>
    <row r="137" s="10" customFormat="1" ht="15" customHeight="1"/>
    <row r="138" s="10" customFormat="1" ht="15" customHeight="1"/>
    <row r="139" s="10" customFormat="1" ht="15" customHeight="1"/>
    <row r="140" s="10" customFormat="1" ht="15" customHeight="1"/>
    <row r="141" s="10" customFormat="1" ht="15" customHeight="1"/>
    <row r="142" s="10" customFormat="1" ht="15" customHeight="1"/>
    <row r="143" s="10" customFormat="1" ht="15" customHeight="1"/>
    <row r="144" s="10" customFormat="1" ht="15" customHeight="1"/>
    <row r="145" s="10" customFormat="1" ht="15" customHeight="1"/>
    <row r="146" s="10" customFormat="1" ht="15" customHeight="1"/>
    <row r="147" s="10" customFormat="1" ht="15" customHeight="1"/>
    <row r="148" s="10" customFormat="1" ht="15" customHeight="1"/>
    <row r="149" s="10" customFormat="1" ht="15" customHeight="1"/>
    <row r="150" s="10" customFormat="1" ht="15" customHeight="1"/>
    <row r="151" s="10" customFormat="1" ht="15" customHeight="1"/>
    <row r="152" s="10" customFormat="1" ht="15" customHeight="1"/>
    <row r="153" s="10" customFormat="1" ht="15" customHeight="1"/>
    <row r="154" s="10" customFormat="1" ht="15" customHeight="1"/>
    <row r="155" s="10" customFormat="1" ht="15" customHeight="1"/>
    <row r="156" s="10" customFormat="1" ht="15" customHeight="1"/>
    <row r="157" s="10" customFormat="1" ht="15" customHeight="1"/>
    <row r="158" s="10" customFormat="1" ht="15" customHeight="1"/>
    <row r="159" s="10" customFormat="1" ht="15" customHeight="1"/>
    <row r="160" s="10" customFormat="1" ht="15" customHeight="1"/>
    <row r="161" s="10" customFormat="1" ht="15" customHeight="1"/>
    <row r="162" s="10" customFormat="1" ht="15" customHeight="1"/>
    <row r="163" s="10" customFormat="1" ht="15" customHeight="1"/>
    <row r="164" s="10" customFormat="1" ht="15" customHeight="1"/>
    <row r="165" s="10" customFormat="1" ht="15" customHeight="1"/>
    <row r="166" s="10" customFormat="1" ht="15" customHeight="1"/>
    <row r="167" s="10" customFormat="1" ht="15" customHeight="1"/>
    <row r="168" s="10" customFormat="1" ht="15" customHeight="1"/>
    <row r="169" s="10" customFormat="1" ht="15" customHeight="1"/>
    <row r="170" s="10" customFormat="1" ht="15" customHeight="1"/>
    <row r="171" s="10" customFormat="1" ht="15" customHeight="1"/>
    <row r="172" s="10" customFormat="1" ht="15" customHeight="1"/>
    <row r="173" s="10" customFormat="1" ht="15" customHeight="1"/>
    <row r="174" s="10" customFormat="1" ht="15" customHeight="1"/>
    <row r="175" s="10" customFormat="1" ht="15" customHeight="1"/>
    <row r="176" s="10" customFormat="1" ht="15" customHeight="1"/>
    <row r="177" s="10" customFormat="1" ht="15" customHeight="1"/>
    <row r="178" s="10" customFormat="1" ht="15" customHeight="1"/>
    <row r="179" s="10" customFormat="1" ht="15" customHeight="1"/>
    <row r="180" s="10" customFormat="1" ht="15" customHeight="1"/>
    <row r="181" s="10" customFormat="1" ht="15" customHeight="1"/>
    <row r="182" s="10" customFormat="1" ht="15" customHeight="1"/>
    <row r="183" s="10" customFormat="1" ht="15" customHeight="1"/>
    <row r="184" s="10" customFormat="1" ht="15" customHeight="1"/>
    <row r="185" s="10" customFormat="1" ht="15" customHeight="1"/>
    <row r="186" s="10" customFormat="1" ht="15" customHeight="1"/>
    <row r="187" s="10" customFormat="1" ht="15" customHeight="1"/>
    <row r="188" s="10" customFormat="1" ht="15" customHeight="1"/>
    <row r="189" s="10" customFormat="1" ht="15" customHeight="1"/>
    <row r="190" s="10" customFormat="1" ht="15" customHeight="1"/>
    <row r="191" s="10" customFormat="1" ht="15" customHeight="1"/>
    <row r="192" s="10" customFormat="1" ht="15" customHeight="1"/>
    <row r="193" s="10" customFormat="1" ht="15" customHeight="1"/>
    <row r="194" s="10" customFormat="1" ht="15" customHeight="1"/>
    <row r="195" s="10" customFormat="1" ht="15" customHeight="1"/>
    <row r="196" s="10" customFormat="1" ht="15" customHeight="1"/>
    <row r="197" s="10" customFormat="1" ht="15" customHeight="1"/>
    <row r="198" s="10" customFormat="1" ht="15" customHeight="1"/>
    <row r="199" s="10" customFormat="1" ht="15" customHeight="1"/>
    <row r="200" s="10" customFormat="1" ht="15" customHeight="1"/>
    <row r="201" s="10" customFormat="1" ht="15" customHeight="1"/>
    <row r="202" s="10" customFormat="1" ht="15" customHeight="1"/>
    <row r="203" s="10" customFormat="1" ht="15" customHeight="1"/>
    <row r="204" s="10" customFormat="1" ht="15" customHeight="1"/>
    <row r="205" s="10" customFormat="1" ht="15" customHeight="1"/>
    <row r="206" s="10" customFormat="1" ht="15" customHeight="1"/>
    <row r="207" s="10" customFormat="1" ht="15" customHeight="1"/>
    <row r="208" s="10" customFormat="1" ht="15" customHeight="1"/>
    <row r="209" s="10" customFormat="1" ht="15" customHeight="1"/>
    <row r="210" s="10" customFormat="1" ht="15" customHeight="1"/>
    <row r="211" s="10" customFormat="1" ht="15" customHeight="1"/>
    <row r="212" s="10" customFormat="1" ht="15" customHeight="1"/>
    <row r="213" s="10" customFormat="1" ht="15" customHeight="1"/>
    <row r="214" s="10" customFormat="1" ht="15" customHeight="1"/>
    <row r="215" s="10" customFormat="1" ht="15" customHeight="1"/>
    <row r="216" s="10" customFormat="1" ht="15" customHeight="1"/>
    <row r="217" s="10" customFormat="1" ht="15" customHeight="1"/>
    <row r="218" s="10" customFormat="1" ht="15" customHeight="1"/>
    <row r="219" s="10" customFormat="1" ht="15" customHeight="1"/>
    <row r="220" s="10" customFormat="1" ht="15" customHeight="1"/>
    <row r="221" s="10" customFormat="1" ht="15" customHeight="1"/>
    <row r="222" s="10" customFormat="1" ht="15" customHeight="1"/>
    <row r="223" s="10" customFormat="1" ht="15" customHeight="1"/>
    <row r="224" s="10" customFormat="1" ht="15" customHeight="1"/>
    <row r="225" s="10" customFormat="1" ht="15" customHeight="1"/>
    <row r="226" s="10" customFormat="1" ht="15" customHeight="1"/>
    <row r="227" s="10" customFormat="1" ht="15" customHeight="1"/>
    <row r="228" s="10" customFormat="1" ht="15" customHeight="1"/>
    <row r="229" s="10" customFormat="1" ht="15" customHeight="1"/>
    <row r="230" s="10" customFormat="1" ht="15" customHeight="1"/>
    <row r="231" s="10" customFormat="1" ht="15" customHeight="1"/>
    <row r="232" s="10" customFormat="1" ht="15" customHeight="1"/>
    <row r="233" s="10" customFormat="1" ht="15" customHeight="1"/>
    <row r="234" s="10" customFormat="1" ht="15" customHeight="1"/>
    <row r="235" s="10" customFormat="1" ht="15" customHeight="1"/>
    <row r="236" s="10" customFormat="1" ht="15" customHeight="1"/>
    <row r="237" s="10" customFormat="1" ht="15" customHeight="1"/>
    <row r="238" s="10" customFormat="1" ht="15" customHeight="1"/>
    <row r="239" s="10" customFormat="1" ht="15" customHeight="1"/>
    <row r="240" s="10" customFormat="1" ht="15" customHeight="1"/>
    <row r="241" s="10" customFormat="1" ht="15" customHeight="1"/>
    <row r="242" s="10" customFormat="1" ht="15" customHeight="1"/>
    <row r="243" s="10" customFormat="1" ht="15" customHeight="1"/>
    <row r="244" s="10" customFormat="1" ht="15" customHeight="1"/>
    <row r="245" s="10" customFormat="1" ht="15" customHeight="1"/>
    <row r="246" s="10" customFormat="1" ht="15" customHeight="1"/>
    <row r="247" s="10" customFormat="1" ht="15" customHeight="1"/>
    <row r="248" s="10" customFormat="1" ht="15" customHeight="1"/>
    <row r="249" s="10" customFormat="1" ht="15" customHeight="1"/>
    <row r="250" s="10" customFormat="1" ht="15" customHeight="1"/>
    <row r="251" s="10" customFormat="1" ht="15" customHeight="1"/>
    <row r="252" s="10" customFormat="1" ht="15" customHeight="1"/>
    <row r="253" s="10" customFormat="1" ht="15" customHeight="1"/>
    <row r="254" s="10" customFormat="1" ht="15" customHeight="1"/>
    <row r="255" s="10" customFormat="1" ht="15" customHeight="1"/>
    <row r="256" s="10" customFormat="1" ht="15" customHeight="1"/>
    <row r="257" s="10" customFormat="1" ht="15" customHeight="1"/>
    <row r="258" s="10" customFormat="1" ht="15" customHeight="1"/>
    <row r="259" s="10" customFormat="1" ht="15" customHeight="1"/>
    <row r="260" s="10" customFormat="1" ht="15" customHeight="1"/>
    <row r="261" s="10" customFormat="1" ht="15" customHeight="1"/>
    <row r="262" s="10" customFormat="1" ht="15" customHeight="1"/>
    <row r="263" s="10" customFormat="1" ht="15" customHeight="1"/>
    <row r="264" s="10" customFormat="1" ht="15" customHeight="1"/>
    <row r="265" s="10" customFormat="1" ht="15" customHeight="1"/>
    <row r="266" s="10" customFormat="1" ht="15" customHeight="1"/>
    <row r="267" s="10" customFormat="1" ht="15" customHeight="1"/>
    <row r="268" s="10" customFormat="1" ht="15" customHeight="1"/>
    <row r="269" s="10" customFormat="1" ht="15" customHeight="1"/>
    <row r="270" s="10" customFormat="1" ht="15" customHeight="1"/>
    <row r="271" s="10" customFormat="1" ht="15" customHeight="1"/>
    <row r="272" s="10" customFormat="1" ht="15" customHeight="1"/>
    <row r="273" s="10" customFormat="1" ht="15" customHeight="1"/>
    <row r="274" s="10" customFormat="1" ht="15" customHeight="1"/>
    <row r="275" s="10" customFormat="1" ht="15" customHeight="1"/>
    <row r="276" s="10" customFormat="1" ht="15" customHeight="1"/>
    <row r="277" s="10" customFormat="1" ht="15" customHeight="1"/>
    <row r="278" s="10" customFormat="1" ht="15" customHeight="1"/>
    <row r="279" s="10" customFormat="1" ht="15" customHeight="1"/>
    <row r="280" s="10" customFormat="1" ht="15" customHeight="1"/>
    <row r="281" s="10" customFormat="1" ht="15" customHeight="1"/>
    <row r="282" s="10" customFormat="1" ht="15" customHeight="1"/>
    <row r="283" s="10" customFormat="1" ht="15" customHeight="1"/>
    <row r="284" s="10" customFormat="1" ht="15" customHeight="1"/>
    <row r="285" s="10" customFormat="1" ht="15" customHeight="1"/>
    <row r="286" s="10" customFormat="1" ht="15" customHeight="1"/>
    <row r="287" s="10" customFormat="1" ht="15" customHeight="1"/>
    <row r="288" s="10" customFormat="1" ht="15" customHeight="1"/>
    <row r="289" s="10" customFormat="1" ht="15" customHeight="1"/>
    <row r="290" s="10" customFormat="1" ht="15" customHeight="1"/>
    <row r="291" s="10" customFormat="1" ht="15" customHeight="1"/>
    <row r="292" s="10" customFormat="1" ht="15" customHeight="1"/>
    <row r="293" s="10" customFormat="1" ht="15" customHeight="1"/>
    <row r="294" s="10" customFormat="1" ht="15" customHeight="1"/>
    <row r="295" s="10" customFormat="1" ht="15" customHeight="1"/>
    <row r="296" s="10" customFormat="1" ht="15" customHeight="1"/>
    <row r="297" s="10" customFormat="1" ht="15" customHeight="1"/>
    <row r="298" s="10" customFormat="1" ht="15" customHeight="1"/>
    <row r="299" s="10" customFormat="1" ht="15" customHeight="1"/>
    <row r="300" s="10" customFormat="1" ht="15" customHeight="1"/>
    <row r="301" s="10" customFormat="1" ht="15" customHeight="1"/>
    <row r="302" s="10" customFormat="1" ht="15" customHeight="1"/>
    <row r="303" s="10" customFormat="1" ht="15" customHeight="1"/>
    <row r="304" s="10" customFormat="1" ht="15" customHeight="1"/>
    <row r="305" s="10" customFormat="1" ht="15" customHeight="1"/>
    <row r="306" s="10" customFormat="1" ht="15" customHeight="1"/>
    <row r="307" s="10" customFormat="1" ht="15" customHeight="1"/>
    <row r="308" s="10" customFormat="1" ht="15" customHeight="1"/>
    <row r="309" s="10" customFormat="1" ht="15" customHeight="1"/>
    <row r="310" s="10" customFormat="1" ht="15" customHeight="1"/>
    <row r="311" s="10" customFormat="1" ht="15" customHeight="1"/>
    <row r="312" s="10" customFormat="1" ht="15" customHeight="1"/>
    <row r="313" s="10" customFormat="1" ht="15" customHeight="1"/>
    <row r="314" s="10" customFormat="1" ht="15" customHeight="1"/>
    <row r="315" s="10" customFormat="1" ht="15" customHeight="1"/>
    <row r="316" s="10" customFormat="1" ht="15" customHeight="1"/>
    <row r="317" s="10" customFormat="1" ht="15" customHeight="1"/>
    <row r="318" s="10" customFormat="1" ht="15" customHeight="1"/>
    <row r="319" s="10" customFormat="1" ht="15" customHeight="1"/>
    <row r="320" s="10" customFormat="1" ht="15" customHeight="1"/>
    <row r="321" s="10" customFormat="1" ht="15" customHeight="1"/>
    <row r="322" s="10" customFormat="1" ht="15" customHeight="1"/>
    <row r="323" s="10" customFormat="1" ht="15" customHeight="1"/>
    <row r="324" s="10" customFormat="1" ht="15" customHeight="1"/>
    <row r="325" s="10" customFormat="1" ht="15" customHeight="1"/>
    <row r="326" s="10" customFormat="1" ht="15" customHeight="1"/>
    <row r="327" s="10" customFormat="1" ht="15" customHeight="1"/>
    <row r="328" s="10" customFormat="1" ht="15" customHeight="1"/>
    <row r="329" s="10" customFormat="1" ht="15" customHeight="1"/>
    <row r="330" s="10" customFormat="1" ht="15" customHeight="1"/>
    <row r="331" s="10" customFormat="1" ht="15" customHeight="1"/>
    <row r="332" s="10" customFormat="1" ht="15" customHeight="1"/>
    <row r="333" s="10" customFormat="1" ht="15" customHeight="1"/>
    <row r="334" s="10" customFormat="1" ht="15" customHeight="1"/>
    <row r="335" s="10" customFormat="1" ht="15" customHeight="1"/>
    <row r="336" s="10" customFormat="1" ht="15" customHeight="1"/>
    <row r="337" s="10" customFormat="1" ht="15" customHeight="1"/>
    <row r="338" s="10" customFormat="1" ht="15" customHeight="1"/>
    <row r="339" s="10" customFormat="1" ht="15" customHeight="1"/>
    <row r="340" s="10" customFormat="1" ht="15" customHeight="1"/>
    <row r="341" s="10" customFormat="1" ht="15" customHeight="1"/>
    <row r="342" s="10" customFormat="1" ht="15" customHeight="1"/>
    <row r="343" s="10" customFormat="1" ht="15" customHeight="1"/>
    <row r="344" s="10" customFormat="1" ht="15" customHeight="1"/>
    <row r="345" s="10" customFormat="1" ht="15" customHeight="1"/>
    <row r="346" s="10" customFormat="1" ht="15" customHeight="1"/>
    <row r="347" s="10" customFormat="1" ht="15" customHeight="1"/>
    <row r="348" s="10" customFormat="1" ht="15" customHeight="1"/>
    <row r="349" s="10" customFormat="1" ht="15" customHeight="1"/>
    <row r="350" s="10" customFormat="1" ht="15" customHeight="1"/>
    <row r="351" s="10" customFormat="1" ht="15" customHeight="1"/>
    <row r="352" s="10" customFormat="1" ht="15" customHeight="1"/>
    <row r="353" s="10" customFormat="1" ht="15" customHeight="1"/>
    <row r="354" s="10" customFormat="1" ht="15" customHeight="1"/>
    <row r="355" s="10" customFormat="1" ht="15" customHeight="1"/>
    <row r="356" s="10" customFormat="1" ht="15" customHeight="1"/>
    <row r="357" s="10" customFormat="1" ht="15" customHeight="1"/>
    <row r="358" s="10" customFormat="1" ht="15" customHeight="1"/>
    <row r="359" s="10" customFormat="1" ht="15" customHeight="1"/>
    <row r="360" s="10" customFormat="1" ht="15" customHeight="1"/>
    <row r="361" s="10" customFormat="1" ht="15" customHeight="1"/>
    <row r="362" s="10" customFormat="1" ht="15" customHeight="1"/>
    <row r="363" s="10" customFormat="1" ht="15" customHeight="1"/>
    <row r="364" s="10" customFormat="1" ht="15" customHeight="1"/>
    <row r="365" s="10" customFormat="1" ht="15" customHeight="1"/>
    <row r="366" s="10" customFormat="1" ht="15" customHeight="1"/>
    <row r="367" s="10" customFormat="1" ht="15" customHeight="1"/>
    <row r="368" s="10" customFormat="1" ht="15" customHeight="1"/>
    <row r="369" s="10" customFormat="1" ht="15" customHeight="1"/>
    <row r="370" s="10" customFormat="1" ht="15" customHeight="1"/>
    <row r="371" s="10" customFormat="1" ht="15" customHeight="1"/>
    <row r="372" s="10" customFormat="1" ht="15" customHeight="1"/>
    <row r="373" s="10" customFormat="1" ht="15" customHeight="1"/>
    <row r="374" s="10" customFormat="1" ht="15" customHeight="1"/>
    <row r="375" s="10" customFormat="1" ht="15" customHeight="1"/>
    <row r="376" s="10" customFormat="1" ht="15" customHeight="1"/>
    <row r="377" s="10" customFormat="1" ht="15" customHeight="1"/>
    <row r="378" s="10" customFormat="1" ht="15" customHeight="1"/>
    <row r="379" s="10" customFormat="1" ht="15" customHeight="1"/>
    <row r="380" s="10" customFormat="1" ht="15" customHeight="1"/>
    <row r="381" s="10" customFormat="1" ht="15" customHeight="1"/>
    <row r="382" s="10" customFormat="1" ht="15" customHeight="1"/>
    <row r="383" s="10" customFormat="1" ht="15" customHeight="1"/>
    <row r="384" s="10" customFormat="1" ht="15" customHeight="1"/>
    <row r="385" s="10" customFormat="1" ht="15" customHeight="1"/>
    <row r="386" s="10" customFormat="1" ht="15" customHeight="1"/>
    <row r="387" s="10" customFormat="1" ht="15" customHeight="1"/>
    <row r="388" s="10" customFormat="1" ht="15" customHeight="1"/>
    <row r="389" s="10" customFormat="1" ht="15" customHeight="1"/>
    <row r="390" s="10" customFormat="1" ht="15" customHeight="1"/>
    <row r="391" s="10" customFormat="1" ht="15" customHeight="1"/>
    <row r="392" s="10" customFormat="1" ht="15" customHeight="1"/>
    <row r="393" s="10" customFormat="1" ht="15" customHeight="1"/>
    <row r="394" s="10" customFormat="1" ht="15" customHeight="1"/>
    <row r="395" s="10" customFormat="1" ht="15" customHeight="1"/>
    <row r="396" s="10" customFormat="1" ht="15" customHeight="1"/>
    <row r="397" s="10" customFormat="1" ht="15" customHeight="1"/>
    <row r="398" s="10" customFormat="1" ht="15" customHeight="1"/>
    <row r="399" s="10" customFormat="1" ht="15" customHeight="1"/>
    <row r="400" s="10" customFormat="1" ht="15" customHeight="1"/>
    <row r="401" s="10" customFormat="1" ht="15" customHeight="1"/>
    <row r="402" s="10" customFormat="1" ht="15" customHeight="1"/>
    <row r="403" s="10" customFormat="1" ht="15" customHeight="1"/>
    <row r="404" s="10" customFormat="1" ht="15" customHeight="1"/>
    <row r="405" s="10" customFormat="1" ht="15" customHeight="1"/>
    <row r="406" s="10" customFormat="1" ht="15" customHeight="1"/>
    <row r="407" s="10" customFormat="1" ht="15" customHeight="1"/>
    <row r="408" s="10" customFormat="1" ht="15" customHeight="1"/>
    <row r="409" s="10" customFormat="1" ht="15" customHeight="1"/>
    <row r="410" s="10" customFormat="1" ht="15" customHeight="1"/>
    <row r="411" s="10" customFormat="1" ht="15" customHeight="1"/>
    <row r="412" s="10" customFormat="1" ht="15" customHeight="1"/>
    <row r="413" s="10" customFormat="1" ht="15" customHeight="1"/>
    <row r="414" s="10" customFormat="1" ht="15" customHeight="1"/>
    <row r="415" s="10" customFormat="1" ht="15" customHeight="1"/>
    <row r="416" s="10" customFormat="1" ht="15" customHeight="1"/>
    <row r="417" s="10" customFormat="1" ht="15" customHeight="1"/>
    <row r="418" s="10" customFormat="1" ht="15" customHeight="1"/>
    <row r="419" s="10" customFormat="1" ht="15" customHeight="1"/>
    <row r="420" s="10" customFormat="1" ht="15" customHeight="1"/>
    <row r="421" s="10" customFormat="1" ht="15" customHeight="1"/>
    <row r="422" s="10" customFormat="1" ht="15" customHeight="1"/>
    <row r="423" s="10" customFormat="1" ht="15" customHeight="1"/>
    <row r="424" s="10" customFormat="1" ht="15" customHeight="1"/>
    <row r="425" s="10" customFormat="1" ht="15" customHeight="1"/>
    <row r="426" s="10" customFormat="1" ht="15" customHeight="1"/>
    <row r="427" s="10" customFormat="1" ht="15" customHeight="1"/>
    <row r="428" s="10" customFormat="1" ht="15" customHeight="1"/>
    <row r="429" s="10" customFormat="1" ht="15" customHeight="1"/>
    <row r="430" s="10" customFormat="1" ht="15" customHeight="1"/>
    <row r="431" s="10" customFormat="1" ht="15" customHeight="1"/>
    <row r="432" s="10" customFormat="1" ht="15" customHeight="1"/>
    <row r="433" s="10" customFormat="1" ht="15" customHeight="1"/>
    <row r="434" s="10" customFormat="1" ht="15" customHeight="1"/>
    <row r="435" s="10" customFormat="1" ht="15" customHeight="1"/>
    <row r="436" s="10" customFormat="1" ht="15" customHeight="1"/>
    <row r="437" s="10" customFormat="1" ht="15" customHeight="1"/>
    <row r="438" s="10" customFormat="1" ht="15" customHeight="1"/>
    <row r="439" s="10" customFormat="1" ht="15" customHeight="1"/>
    <row r="440" s="10" customFormat="1" ht="15" customHeight="1"/>
    <row r="441" s="10" customFormat="1" ht="15" customHeight="1"/>
    <row r="442" s="10" customFormat="1" ht="15" customHeight="1"/>
    <row r="443" s="10" customFormat="1" ht="15" customHeight="1"/>
    <row r="444" s="10" customFormat="1" ht="15" customHeight="1"/>
    <row r="445" s="10" customFormat="1" ht="15" customHeight="1"/>
    <row r="446" s="10" customFormat="1" ht="15" customHeight="1"/>
    <row r="447" s="10" customFormat="1" ht="15" customHeight="1"/>
    <row r="448" s="10" customFormat="1" ht="15" customHeight="1"/>
    <row r="449" s="10" customFormat="1" ht="15" customHeight="1"/>
    <row r="450" s="10" customFormat="1" ht="15" customHeight="1"/>
    <row r="451" s="10" customFormat="1" ht="15" customHeight="1"/>
    <row r="452" s="10" customFormat="1" ht="15" customHeight="1"/>
    <row r="453" s="10" customFormat="1" ht="15" customHeight="1"/>
    <row r="454" s="10" customFormat="1" ht="15" customHeight="1"/>
    <row r="455" s="10" customFormat="1" ht="15" customHeight="1"/>
    <row r="456" s="10" customFormat="1" ht="15" customHeight="1"/>
    <row r="457" s="10" customFormat="1" ht="15" customHeight="1"/>
    <row r="458" s="10" customFormat="1" ht="15" customHeight="1"/>
    <row r="459" s="10" customFormat="1" ht="15" customHeight="1"/>
    <row r="460" s="10" customFormat="1" ht="15" customHeight="1"/>
    <row r="461" s="10" customFormat="1" ht="15" customHeight="1"/>
    <row r="462" s="10" customFormat="1" ht="15" customHeight="1"/>
    <row r="463" s="10" customFormat="1" ht="15" customHeight="1"/>
    <row r="464" s="10" customFormat="1" ht="15" customHeight="1"/>
    <row r="465" s="10" customFormat="1" ht="15" customHeight="1"/>
    <row r="466" s="10" customFormat="1" ht="15" customHeight="1"/>
    <row r="467" s="10" customFormat="1" ht="15" customHeight="1"/>
    <row r="468" s="10" customFormat="1" ht="15" customHeight="1"/>
    <row r="469" s="10" customFormat="1" ht="15" customHeight="1"/>
    <row r="470" s="10" customFormat="1" ht="15" customHeight="1"/>
    <row r="471" s="10" customFormat="1" ht="15" customHeight="1"/>
    <row r="472" s="10" customFormat="1" ht="15" customHeight="1"/>
    <row r="473" s="10" customFormat="1" ht="15" customHeight="1"/>
    <row r="474" s="10" customFormat="1" ht="15" customHeight="1"/>
    <row r="475" s="10" customFormat="1" ht="15" customHeight="1"/>
    <row r="476" s="10" customFormat="1" ht="15" customHeight="1"/>
    <row r="477" s="10" customFormat="1" ht="15" customHeight="1"/>
    <row r="478" s="10" customFormat="1" ht="15" customHeight="1"/>
    <row r="479" s="10" customFormat="1" ht="15" customHeight="1"/>
    <row r="480" s="10" customFormat="1" ht="15" customHeight="1"/>
    <row r="481" s="10" customFormat="1" ht="15" customHeight="1"/>
    <row r="482" s="10" customFormat="1" ht="15" customHeight="1"/>
    <row r="483" s="10" customFormat="1" ht="15" customHeight="1"/>
    <row r="484" s="10" customFormat="1" ht="15" customHeight="1"/>
    <row r="485" s="10" customFormat="1" ht="15" customHeight="1"/>
    <row r="486" s="10" customFormat="1" ht="15" customHeight="1"/>
    <row r="487" s="10" customFormat="1" ht="15" customHeight="1"/>
    <row r="488" s="10" customFormat="1" ht="15" customHeight="1"/>
    <row r="489" s="10" customFormat="1" ht="15" customHeight="1"/>
    <row r="490" s="10" customFormat="1" ht="15" customHeight="1"/>
    <row r="491" s="10" customFormat="1" ht="15" customHeight="1"/>
    <row r="492" s="10" customFormat="1" ht="15" customHeight="1"/>
    <row r="493" s="10" customFormat="1" ht="15" customHeight="1"/>
    <row r="494" s="10" customFormat="1" ht="15" customHeight="1"/>
    <row r="495" s="10" customFormat="1" ht="15" customHeight="1"/>
    <row r="496" s="10" customFormat="1" ht="15" customHeight="1"/>
    <row r="497" s="10" customFormat="1" ht="15" customHeight="1"/>
    <row r="498" s="10" customFormat="1" ht="15" customHeight="1"/>
    <row r="499" s="10" customFormat="1" ht="15" customHeight="1"/>
    <row r="500" s="10" customFormat="1" ht="15" customHeight="1"/>
    <row r="501" s="10" customFormat="1" ht="15" customHeight="1"/>
    <row r="502" s="10" customFormat="1" ht="15" customHeight="1"/>
    <row r="503" s="10" customFormat="1" ht="15" customHeight="1"/>
    <row r="504" s="10" customFormat="1" ht="15" customHeight="1"/>
    <row r="505" s="10" customFormat="1" ht="15" customHeight="1"/>
    <row r="506" s="10" customFormat="1" ht="15" customHeight="1"/>
    <row r="507" s="10" customFormat="1" ht="15" customHeight="1"/>
    <row r="508" s="10" customFormat="1" ht="15" customHeight="1"/>
    <row r="509" s="10" customFormat="1" ht="15" customHeight="1"/>
    <row r="510" s="10" customFormat="1" ht="15" customHeight="1"/>
    <row r="511" s="10" customFormat="1" ht="15" customHeight="1"/>
    <row r="512" s="10" customFormat="1" ht="15" customHeight="1"/>
    <row r="513" s="10" customFormat="1" ht="15" customHeight="1"/>
    <row r="514" s="10" customFormat="1" ht="15" customHeight="1"/>
    <row r="515" s="10" customFormat="1" ht="15" customHeight="1"/>
    <row r="516" s="10" customFormat="1" ht="15" customHeight="1"/>
    <row r="517" s="10" customFormat="1" ht="15" customHeight="1"/>
    <row r="518" s="10" customFormat="1" ht="15" customHeight="1"/>
    <row r="519" s="10" customFormat="1" ht="15" customHeight="1"/>
    <row r="520" s="10" customFormat="1" ht="15" customHeight="1"/>
    <row r="521" s="10" customFormat="1" ht="15" customHeight="1"/>
    <row r="522" s="10" customFormat="1" ht="15" customHeight="1"/>
    <row r="523" s="10" customFormat="1" ht="15" customHeight="1"/>
    <row r="524" s="10" customFormat="1" ht="15" customHeight="1"/>
    <row r="525" s="10" customFormat="1" ht="15" customHeight="1"/>
    <row r="526" s="10" customFormat="1" ht="15" customHeight="1"/>
    <row r="527" s="10" customFormat="1" ht="15" customHeight="1"/>
    <row r="528" s="10" customFormat="1" ht="15" customHeight="1"/>
    <row r="529" s="10" customFormat="1" ht="15" customHeight="1"/>
    <row r="530" s="10" customFormat="1" ht="15" customHeight="1"/>
    <row r="531" s="10" customFormat="1" ht="15" customHeight="1"/>
    <row r="532" s="10" customFormat="1" ht="15" customHeight="1"/>
    <row r="533" s="10" customFormat="1" ht="15" customHeight="1"/>
    <row r="534" s="10" customFormat="1" ht="15" customHeight="1"/>
    <row r="535" s="10" customFormat="1" ht="15" customHeight="1"/>
    <row r="536" s="10" customFormat="1" ht="15" customHeight="1"/>
    <row r="537" s="10" customFormat="1" ht="15" customHeight="1"/>
    <row r="538" s="10" customFormat="1" ht="15" customHeight="1"/>
    <row r="539" s="10" customFormat="1" ht="15" customHeight="1"/>
    <row r="540" s="10" customFormat="1" ht="15" customHeight="1"/>
    <row r="541" s="10" customFormat="1" ht="15" customHeight="1"/>
    <row r="542" s="10" customFormat="1" ht="15" customHeight="1"/>
    <row r="543" s="10" customFormat="1" ht="15" customHeight="1"/>
    <row r="544" s="10" customFormat="1" ht="15" customHeight="1"/>
    <row r="545" s="10" customFormat="1" ht="15" customHeight="1"/>
    <row r="546" s="10" customFormat="1" ht="15" customHeight="1"/>
    <row r="547" s="10" customFormat="1" ht="15" customHeight="1"/>
    <row r="548" s="10" customFormat="1" ht="15" customHeight="1"/>
    <row r="549" s="10" customFormat="1" ht="15" customHeight="1"/>
    <row r="550" s="10" customFormat="1" ht="15" customHeight="1"/>
    <row r="551" s="10" customFormat="1" ht="15" customHeight="1"/>
    <row r="552" s="10" customFormat="1" ht="15" customHeight="1"/>
    <row r="553" s="10" customFormat="1" ht="15" customHeight="1"/>
    <row r="554" s="10" customFormat="1" ht="15" customHeight="1"/>
    <row r="555" s="10" customFormat="1" ht="15" customHeight="1"/>
    <row r="556" s="10" customFormat="1" ht="15" customHeight="1"/>
    <row r="557" s="10" customFormat="1" ht="15" customHeight="1"/>
    <row r="558" s="10" customFormat="1" ht="15" customHeight="1"/>
    <row r="559" s="10" customFormat="1" ht="15" customHeight="1"/>
    <row r="560" s="10" customFormat="1" ht="15" customHeight="1"/>
    <row r="561" s="10" customFormat="1" ht="15" customHeight="1"/>
    <row r="562" s="10" customFormat="1" ht="15" customHeight="1"/>
    <row r="563" s="10" customFormat="1" ht="15" customHeight="1"/>
    <row r="564" s="10" customFormat="1" ht="15" customHeight="1"/>
    <row r="565" s="10" customFormat="1" ht="15" customHeight="1"/>
    <row r="566" s="10" customFormat="1" ht="15" customHeight="1"/>
    <row r="567" s="10" customFormat="1" ht="15" customHeight="1"/>
    <row r="568" s="10" customFormat="1" ht="15" customHeight="1"/>
    <row r="569" s="10" customFormat="1" ht="15" customHeight="1"/>
    <row r="570" s="10" customFormat="1" ht="15" customHeight="1"/>
    <row r="571" s="10" customFormat="1" ht="15" customHeight="1"/>
    <row r="572" s="10" customFormat="1" ht="15" customHeight="1"/>
    <row r="573" s="10" customFormat="1" ht="15" customHeight="1"/>
    <row r="574" s="10" customFormat="1" ht="15" customHeight="1"/>
    <row r="575" s="10" customFormat="1" ht="15" customHeight="1"/>
    <row r="576" s="10" customFormat="1" ht="15" customHeight="1"/>
    <row r="577" s="10" customFormat="1" ht="15" customHeight="1"/>
    <row r="578" s="10" customFormat="1" ht="15" customHeight="1"/>
    <row r="579" s="10" customFormat="1" ht="15" customHeight="1"/>
    <row r="580" s="10" customFormat="1" ht="15" customHeight="1"/>
    <row r="581" s="10" customFormat="1" ht="15" customHeight="1"/>
    <row r="582" s="10" customFormat="1" ht="15" customHeight="1"/>
    <row r="583" s="10" customFormat="1" ht="15" customHeight="1"/>
    <row r="584" s="10" customFormat="1" ht="15" customHeight="1"/>
    <row r="585" s="10" customFormat="1" ht="15" customHeight="1"/>
    <row r="586" s="10" customFormat="1" ht="15" customHeight="1"/>
    <row r="587" s="10" customFormat="1" ht="15" customHeight="1"/>
    <row r="588" s="10" customFormat="1" ht="15" customHeight="1"/>
    <row r="589" s="10" customFormat="1" ht="15" customHeight="1"/>
    <row r="590" s="10" customFormat="1" ht="15" customHeight="1"/>
    <row r="591" s="10" customFormat="1" ht="15" customHeight="1"/>
    <row r="592" s="10" customFormat="1" ht="15" customHeight="1"/>
    <row r="593" s="10" customFormat="1" ht="15" customHeight="1"/>
    <row r="594" s="10" customFormat="1" ht="15" customHeight="1"/>
    <row r="595" s="10" customFormat="1" ht="15" customHeight="1"/>
    <row r="596" s="10" customFormat="1" ht="15" customHeight="1"/>
    <row r="597" s="10" customFormat="1" ht="15" customHeight="1"/>
    <row r="598" s="10" customFormat="1" ht="15" customHeight="1"/>
    <row r="599" s="10" customFormat="1" ht="15" customHeight="1"/>
    <row r="600" s="10" customFormat="1" ht="15" customHeight="1"/>
    <row r="601" s="10" customFormat="1" ht="15" customHeight="1"/>
    <row r="602" s="10" customFormat="1" ht="15" customHeight="1"/>
    <row r="603" s="10" customFormat="1" ht="15" customHeight="1"/>
    <row r="604" s="10" customFormat="1" ht="15" customHeight="1"/>
    <row r="605" s="10" customFormat="1" ht="15" customHeight="1"/>
    <row r="606" s="10" customFormat="1" ht="15" customHeight="1"/>
    <row r="607" s="10" customFormat="1" ht="15" customHeight="1"/>
    <row r="608" s="10" customFormat="1" ht="15" customHeight="1"/>
    <row r="609" s="10" customFormat="1" ht="15" customHeight="1"/>
    <row r="610" s="10" customFormat="1" ht="15" customHeight="1"/>
    <row r="611" s="10" customFormat="1" ht="15" customHeight="1"/>
    <row r="612" s="10" customFormat="1" ht="15" customHeight="1"/>
    <row r="613" s="10" customFormat="1" ht="15" customHeight="1"/>
    <row r="614" s="10" customFormat="1" ht="15" customHeight="1"/>
    <row r="615" s="10" customFormat="1" ht="15" customHeight="1"/>
    <row r="616" s="10" customFormat="1" ht="15" customHeight="1"/>
    <row r="617" s="10" customFormat="1" ht="15" customHeight="1"/>
    <row r="618" s="10" customFormat="1" ht="15" customHeight="1"/>
    <row r="619" s="10" customFormat="1" ht="15" customHeight="1"/>
    <row r="620" s="10" customFormat="1" ht="15" customHeight="1"/>
    <row r="621" s="10" customFormat="1" ht="15" customHeight="1"/>
    <row r="622" s="10" customFormat="1" ht="15" customHeight="1"/>
    <row r="623" s="10" customFormat="1" ht="15" customHeight="1"/>
    <row r="624" s="10" customFormat="1" ht="15" customHeight="1"/>
    <row r="625" s="10" customFormat="1" ht="15" customHeight="1"/>
    <row r="626" s="10" customFormat="1" ht="15" customHeight="1"/>
    <row r="627" s="10" customFormat="1" ht="15" customHeight="1"/>
    <row r="628" s="10" customFormat="1" ht="15" customHeight="1"/>
    <row r="629" s="10" customFormat="1" ht="15" customHeight="1"/>
    <row r="630" s="10" customFormat="1" ht="15" customHeight="1"/>
    <row r="631" s="10" customFormat="1" ht="15" customHeight="1"/>
    <row r="632" s="10" customFormat="1" ht="15" customHeight="1"/>
    <row r="633" s="10" customFormat="1" ht="15" customHeight="1"/>
    <row r="634" s="10" customFormat="1" ht="15" customHeight="1"/>
    <row r="635" s="10" customFormat="1" ht="15" customHeight="1"/>
    <row r="636" s="10" customFormat="1" ht="15" customHeight="1"/>
    <row r="637" s="10" customFormat="1" ht="15" customHeight="1"/>
    <row r="638" s="10" customFormat="1" ht="15" customHeight="1"/>
    <row r="639" s="10" customFormat="1" ht="15" customHeight="1"/>
    <row r="640" s="10" customFormat="1" ht="15" customHeight="1"/>
    <row r="641" s="10" customFormat="1" ht="15" customHeight="1"/>
    <row r="642" s="10" customFormat="1" ht="15" customHeight="1"/>
    <row r="643" s="10" customFormat="1" ht="15" customHeight="1"/>
    <row r="644" s="10" customFormat="1" ht="15" customHeight="1"/>
    <row r="645" s="10" customFormat="1" ht="15" customHeight="1"/>
    <row r="646" s="10" customFormat="1" ht="15" customHeight="1"/>
    <row r="647" s="10" customFormat="1" ht="15" customHeight="1"/>
    <row r="648" s="10" customFormat="1" ht="15" customHeight="1"/>
    <row r="649" s="10" customFormat="1" ht="15" customHeight="1"/>
    <row r="650" s="10" customFormat="1" ht="15" customHeight="1"/>
    <row r="651" s="10" customFormat="1" ht="15" customHeight="1"/>
    <row r="652" s="10" customFormat="1" ht="15" customHeight="1"/>
    <row r="653" s="10" customFormat="1" ht="15" customHeight="1"/>
    <row r="654" s="10" customFormat="1" ht="15" customHeight="1"/>
    <row r="655" s="10" customFormat="1" ht="15" customHeight="1"/>
    <row r="656" s="10" customFormat="1" ht="15" customHeight="1"/>
    <row r="657" s="10" customFormat="1" ht="15" customHeight="1"/>
    <row r="658" s="10" customFormat="1" ht="15" customHeight="1"/>
    <row r="659" s="10" customFormat="1" ht="15" customHeight="1"/>
    <row r="660" s="10" customFormat="1" ht="15" customHeight="1"/>
    <row r="661" s="10" customFormat="1" ht="15" customHeight="1"/>
    <row r="662" s="10" customFormat="1" ht="15" customHeight="1"/>
    <row r="663" s="10" customFormat="1" ht="15" customHeight="1"/>
    <row r="664" s="10" customFormat="1" ht="15" customHeight="1"/>
    <row r="665" s="10" customFormat="1" ht="15" customHeight="1"/>
    <row r="666" s="10" customFormat="1" ht="15" customHeight="1"/>
    <row r="667" s="10" customFormat="1" ht="15" customHeight="1"/>
    <row r="668" s="10" customFormat="1" ht="15" customHeight="1"/>
    <row r="669" s="10" customFormat="1" ht="15" customHeight="1"/>
    <row r="670" s="10" customFormat="1" ht="15" customHeight="1"/>
    <row r="671" s="10" customFormat="1" ht="15" customHeight="1"/>
    <row r="672" s="10" customFormat="1" ht="15" customHeight="1"/>
    <row r="673" s="10" customFormat="1" ht="15" customHeight="1"/>
    <row r="674" s="10" customFormat="1" ht="15" customHeight="1"/>
    <row r="675" s="10" customFormat="1" ht="15" customHeight="1"/>
    <row r="676" s="10" customFormat="1" ht="15" customHeight="1"/>
    <row r="677" s="10" customFormat="1" ht="15" customHeight="1"/>
    <row r="678" s="10" customFormat="1" ht="15" customHeight="1"/>
    <row r="679" s="10" customFormat="1" ht="15" customHeight="1"/>
    <row r="680" s="10" customFormat="1" ht="15" customHeight="1"/>
    <row r="681" s="10" customFormat="1" ht="15" customHeight="1"/>
    <row r="682" s="10" customFormat="1" ht="15" customHeight="1"/>
    <row r="683" s="10" customFormat="1" ht="15" customHeight="1"/>
    <row r="684" s="10" customFormat="1" ht="15" customHeight="1"/>
    <row r="685" s="10" customFormat="1" ht="15" customHeight="1"/>
    <row r="686" s="10" customFormat="1" ht="15" customHeight="1"/>
    <row r="687" s="10" customFormat="1" ht="15" customHeight="1"/>
    <row r="688" s="10" customFormat="1" ht="15" customHeight="1"/>
    <row r="689" s="10" customFormat="1" ht="15" customHeight="1"/>
    <row r="690" s="10" customFormat="1" ht="15" customHeight="1"/>
    <row r="691" s="10" customFormat="1" ht="15" customHeight="1"/>
    <row r="692" s="10" customFormat="1" ht="15" customHeight="1"/>
    <row r="693" s="10" customFormat="1" ht="15" customHeight="1"/>
    <row r="694" s="10" customFormat="1" ht="15" customHeight="1"/>
    <row r="695" s="10" customFormat="1" ht="15" customHeight="1"/>
    <row r="696" s="10" customFormat="1" ht="15" customHeight="1"/>
    <row r="697" s="10" customFormat="1" ht="15" customHeight="1"/>
    <row r="698" s="10" customFormat="1" ht="15" customHeight="1"/>
    <row r="699" s="10" customFormat="1" ht="15" customHeight="1"/>
    <row r="700" s="10" customFormat="1" ht="15" customHeight="1"/>
    <row r="701" s="10" customFormat="1" ht="15" customHeight="1"/>
    <row r="702" s="10" customFormat="1" ht="15" customHeight="1"/>
    <row r="703" s="10" customFormat="1" ht="15" customHeight="1"/>
    <row r="704" s="10" customFormat="1" ht="15" customHeight="1"/>
    <row r="705" s="10" customFormat="1" ht="15" customHeight="1"/>
    <row r="706" s="10" customFormat="1" ht="15" customHeight="1"/>
    <row r="707" s="10" customFormat="1" ht="15" customHeight="1"/>
    <row r="708" s="10" customFormat="1" ht="15" customHeight="1"/>
    <row r="709" s="10" customFormat="1" ht="15" customHeight="1"/>
    <row r="710" s="10" customFormat="1" ht="15" customHeight="1"/>
    <row r="711" s="10" customFormat="1" ht="15" customHeight="1"/>
    <row r="712" s="10" customFormat="1" ht="15" customHeight="1"/>
    <row r="713" s="10" customFormat="1" ht="15" customHeight="1"/>
    <row r="714" s="10" customFormat="1" ht="15" customHeight="1"/>
    <row r="715" s="10" customFormat="1" ht="15" customHeight="1"/>
    <row r="716" s="10" customFormat="1" ht="15" customHeight="1"/>
    <row r="717" s="10" customFormat="1" ht="15" customHeight="1"/>
    <row r="718" s="10" customFormat="1" ht="15" customHeight="1"/>
    <row r="719" s="10" customFormat="1" ht="15" customHeight="1"/>
    <row r="720" s="10" customFormat="1" ht="15" customHeight="1"/>
    <row r="721" s="10" customFormat="1" ht="15" customHeight="1"/>
    <row r="722" s="10" customFormat="1" ht="15" customHeight="1"/>
    <row r="723" s="10" customFormat="1" ht="15" customHeight="1"/>
    <row r="724" s="10" customFormat="1" ht="15" customHeight="1"/>
    <row r="725" s="10" customFormat="1" ht="15" customHeight="1"/>
    <row r="726" s="10" customFormat="1" ht="15" customHeight="1"/>
    <row r="727" s="10" customFormat="1" ht="15" customHeight="1"/>
    <row r="728" s="10" customFormat="1" ht="15" customHeight="1"/>
    <row r="729" s="10" customFormat="1" ht="15" customHeight="1"/>
    <row r="730" s="10" customFormat="1" ht="15" customHeight="1"/>
    <row r="731" s="10" customFormat="1" ht="15" customHeight="1"/>
    <row r="732" s="10" customFormat="1" ht="15" customHeight="1"/>
    <row r="733" s="10" customFormat="1" ht="15" customHeight="1"/>
    <row r="734" s="10" customFormat="1" ht="15" customHeight="1"/>
    <row r="735" s="10" customFormat="1" ht="15" customHeight="1"/>
    <row r="736" s="10" customFormat="1" ht="15" customHeight="1"/>
    <row r="737" s="10" customFormat="1" ht="15" customHeight="1"/>
    <row r="738" s="10" customFormat="1" ht="15" customHeight="1"/>
    <row r="739" s="10" customFormat="1" ht="15" customHeight="1"/>
    <row r="740" s="10" customFormat="1" ht="15" customHeight="1"/>
    <row r="741" s="10" customFormat="1" ht="15" customHeight="1"/>
    <row r="742" s="10" customFormat="1" ht="15" customHeight="1"/>
    <row r="743" s="10" customFormat="1" ht="15" customHeight="1"/>
    <row r="744" s="10" customFormat="1" ht="15" customHeight="1"/>
    <row r="745" s="10" customFormat="1" ht="15" customHeight="1"/>
    <row r="746" s="10" customFormat="1" ht="15" customHeight="1"/>
    <row r="747" s="10" customFormat="1" ht="15" customHeight="1"/>
    <row r="748" s="10" customFormat="1" ht="15" customHeight="1"/>
    <row r="749" s="10" customFormat="1" ht="15" customHeight="1"/>
    <row r="750" s="10" customFormat="1" ht="15" customHeight="1"/>
    <row r="751" s="10" customFormat="1" ht="15" customHeight="1"/>
    <row r="752" s="10" customFormat="1" ht="15" customHeight="1"/>
    <row r="753" s="10" customFormat="1" ht="15" customHeight="1"/>
    <row r="754" s="10" customFormat="1" ht="15" customHeight="1"/>
    <row r="755" s="10" customFormat="1" ht="15" customHeight="1"/>
    <row r="756" s="10" customFormat="1" ht="15" customHeight="1"/>
    <row r="757" s="10" customFormat="1" ht="15" customHeight="1"/>
    <row r="758" s="10" customFormat="1" ht="15" customHeight="1"/>
    <row r="759" s="10" customFormat="1" ht="15" customHeight="1"/>
    <row r="760" s="10" customFormat="1" ht="15" customHeight="1"/>
    <row r="761" s="10" customFormat="1" ht="15" customHeight="1"/>
    <row r="762" s="10" customFormat="1" ht="15" customHeight="1"/>
    <row r="763" s="10" customFormat="1" ht="15" customHeight="1"/>
    <row r="764" s="10" customFormat="1" ht="15" customHeight="1"/>
    <row r="765" s="10" customFormat="1" ht="15" customHeight="1"/>
    <row r="766" s="10" customFormat="1" ht="15" customHeight="1"/>
    <row r="767" s="10" customFormat="1" ht="15" customHeight="1"/>
    <row r="768" s="10" customFormat="1" ht="15" customHeight="1"/>
    <row r="769" s="10" customFormat="1" ht="15" customHeight="1"/>
    <row r="770" s="10" customFormat="1" ht="15" customHeight="1"/>
    <row r="771" s="10" customFormat="1" ht="15" customHeight="1"/>
    <row r="772" s="10" customFormat="1" ht="15" customHeight="1"/>
    <row r="773" s="10" customFormat="1" ht="15" customHeight="1"/>
    <row r="774" s="10" customFormat="1" ht="15" customHeight="1"/>
    <row r="775" s="10" customFormat="1" ht="15" customHeight="1"/>
    <row r="776" s="10" customFormat="1" ht="15" customHeight="1"/>
    <row r="777" s="10" customFormat="1" ht="15" customHeight="1"/>
    <row r="778" s="10" customFormat="1" ht="15" customHeight="1"/>
    <row r="779" s="10" customFormat="1" ht="15" customHeight="1"/>
    <row r="780" s="10" customFormat="1" ht="15" customHeight="1"/>
    <row r="781" s="10" customFormat="1" ht="15" customHeight="1"/>
    <row r="782" s="10" customFormat="1" ht="15" customHeight="1"/>
    <row r="783" s="10" customFormat="1" ht="15" customHeight="1"/>
    <row r="784" s="10" customFormat="1" ht="15" customHeight="1"/>
    <row r="785" s="10" customFormat="1" ht="15" customHeight="1"/>
    <row r="786" s="10" customFormat="1" ht="15" customHeight="1"/>
    <row r="787" s="10" customFormat="1" ht="15" customHeight="1"/>
    <row r="788" s="10" customFormat="1" ht="15" customHeight="1"/>
    <row r="789" s="10" customFormat="1" ht="15" customHeight="1"/>
    <row r="790" s="10" customFormat="1" ht="15" customHeight="1"/>
    <row r="791" s="10" customFormat="1" ht="15" customHeight="1"/>
    <row r="792" s="10" customFormat="1" ht="15" customHeight="1"/>
    <row r="793" s="10" customFormat="1" ht="15" customHeight="1"/>
    <row r="794" s="10" customFormat="1" ht="15" customHeight="1"/>
    <row r="795" s="10" customFormat="1" ht="15" customHeight="1"/>
    <row r="796" s="10" customFormat="1" ht="15" customHeight="1"/>
    <row r="797" s="10" customFormat="1" ht="15" customHeight="1"/>
    <row r="798" s="10" customFormat="1" ht="15" customHeight="1"/>
    <row r="799" s="10" customFormat="1" ht="15" customHeight="1"/>
    <row r="800" s="10" customFormat="1" ht="15" customHeight="1"/>
    <row r="801" s="10" customFormat="1" ht="15" customHeight="1"/>
    <row r="802" s="10" customFormat="1" ht="15" customHeight="1"/>
    <row r="803" s="10" customFormat="1" ht="15" customHeight="1"/>
    <row r="804" s="10" customFormat="1" ht="15" customHeight="1"/>
    <row r="805" s="10" customFormat="1" ht="15" customHeight="1"/>
    <row r="806" s="10" customFormat="1" ht="15" customHeight="1"/>
    <row r="807" s="10" customFormat="1" ht="15" customHeight="1"/>
    <row r="808" s="10" customFormat="1" ht="15" customHeight="1"/>
    <row r="809" s="10" customFormat="1" ht="15" customHeight="1"/>
    <row r="810" s="10" customFormat="1" ht="15" customHeight="1"/>
    <row r="811" s="10" customFormat="1" ht="15" customHeight="1"/>
    <row r="812" s="10" customFormat="1" ht="15" customHeight="1"/>
    <row r="813" s="10" customFormat="1" ht="15" customHeight="1"/>
    <row r="814" s="10" customFormat="1" ht="15" customHeight="1"/>
    <row r="815" s="10" customFormat="1" ht="15" customHeight="1"/>
    <row r="816" s="10" customFormat="1" ht="15" customHeight="1"/>
    <row r="817" s="10" customFormat="1" ht="15" customHeight="1"/>
    <row r="818" s="10" customFormat="1" ht="15" customHeight="1"/>
    <row r="819" s="10" customFormat="1" ht="15" customHeight="1"/>
    <row r="820" s="10" customFormat="1" ht="15" customHeight="1"/>
    <row r="821" s="10" customFormat="1" ht="15" customHeight="1"/>
    <row r="822" s="10" customFormat="1" ht="15" customHeight="1"/>
    <row r="823" s="10" customFormat="1" ht="15" customHeight="1"/>
    <row r="824" s="10" customFormat="1" ht="15" customHeight="1"/>
    <row r="825" s="10" customFormat="1" ht="15" customHeight="1"/>
    <row r="826" s="10" customFormat="1" ht="15" customHeight="1"/>
    <row r="827" s="10" customFormat="1" ht="15" customHeight="1"/>
    <row r="828" s="10" customFormat="1" ht="15" customHeight="1"/>
    <row r="829" s="10" customFormat="1" ht="15" customHeight="1"/>
    <row r="830" s="10" customFormat="1" ht="15" customHeight="1"/>
    <row r="831" s="10" customFormat="1" ht="15" customHeight="1"/>
    <row r="832" s="10" customFormat="1" ht="15" customHeight="1"/>
    <row r="833" s="10" customFormat="1" ht="15" customHeight="1"/>
    <row r="834" s="10" customFormat="1" ht="15" customHeight="1"/>
    <row r="835" s="10" customFormat="1" ht="15" customHeight="1"/>
    <row r="836" s="10" customFormat="1" ht="15" customHeight="1"/>
    <row r="837" s="10" customFormat="1" ht="15" customHeight="1"/>
    <row r="838" s="10" customFormat="1" ht="15" customHeight="1"/>
    <row r="839" s="10" customFormat="1" ht="15" customHeight="1"/>
    <row r="840" s="10" customFormat="1" ht="15" customHeight="1"/>
    <row r="841" s="10" customFormat="1" ht="15" customHeight="1"/>
    <row r="842" s="10" customFormat="1" ht="15" customHeight="1"/>
    <row r="843" s="10" customFormat="1" ht="15" customHeight="1"/>
    <row r="844" s="10" customFormat="1" ht="15" customHeight="1"/>
    <row r="845" s="10" customFormat="1" ht="15" customHeight="1"/>
    <row r="846" s="10" customFormat="1" ht="15" customHeight="1"/>
    <row r="847" s="10" customFormat="1" ht="15" customHeight="1"/>
    <row r="848" s="10" customFormat="1" ht="15" customHeight="1"/>
    <row r="849" s="10" customFormat="1" ht="15" customHeight="1"/>
    <row r="850" s="10" customFormat="1" ht="15" customHeight="1"/>
    <row r="851" s="10" customFormat="1" ht="15" customHeight="1"/>
    <row r="852" s="10" customFormat="1" ht="15" customHeight="1"/>
    <row r="853" s="10" customFormat="1" ht="15" customHeight="1"/>
    <row r="854" s="10" customFormat="1" ht="15" customHeight="1"/>
    <row r="855" s="10" customFormat="1" ht="15" customHeight="1"/>
    <row r="856" s="10" customFormat="1" ht="15" customHeight="1"/>
    <row r="857" s="10" customFormat="1" ht="15" customHeight="1"/>
    <row r="858" s="10" customFormat="1" ht="15" customHeight="1"/>
    <row r="859" s="10" customFormat="1" ht="15" customHeight="1"/>
    <row r="860" s="10" customFormat="1" ht="15" customHeight="1"/>
    <row r="861" s="10" customFormat="1" ht="15" customHeight="1"/>
    <row r="862" s="10" customFormat="1" ht="15" customHeight="1"/>
    <row r="863" s="10" customFormat="1" ht="15" customHeight="1"/>
    <row r="864" s="10" customFormat="1" ht="15" customHeight="1"/>
    <row r="865" s="10" customFormat="1" ht="15" customHeight="1"/>
    <row r="866" s="10" customFormat="1" ht="15" customHeight="1"/>
    <row r="867" s="10" customFormat="1" ht="15" customHeight="1"/>
    <row r="868" s="10" customFormat="1" ht="15" customHeight="1"/>
    <row r="869" s="10" customFormat="1" ht="15" customHeight="1"/>
    <row r="870" s="10" customFormat="1" ht="15" customHeight="1"/>
    <row r="871" s="10" customFormat="1" ht="15" customHeight="1"/>
    <row r="872" s="10" customFormat="1" ht="15" customHeight="1"/>
    <row r="873" s="10" customFormat="1" ht="15" customHeight="1"/>
    <row r="874" s="10" customFormat="1" ht="15" customHeight="1"/>
    <row r="875" s="10" customFormat="1" ht="15" customHeight="1"/>
    <row r="876" s="10" customFormat="1" ht="15" customHeight="1"/>
    <row r="877" s="10" customFormat="1" ht="15" customHeight="1"/>
    <row r="878" s="10" customFormat="1" ht="15" customHeight="1"/>
    <row r="879" s="10" customFormat="1" ht="15" customHeight="1"/>
    <row r="880" s="10" customFormat="1" ht="15" customHeight="1"/>
    <row r="881" s="10" customFormat="1" ht="15" customHeight="1"/>
    <row r="882" s="10" customFormat="1" ht="15" customHeight="1"/>
    <row r="883" s="10" customFormat="1" ht="15" customHeight="1"/>
    <row r="884" s="10" customFormat="1" ht="15" customHeight="1"/>
    <row r="885" s="10" customFormat="1" ht="15" customHeight="1"/>
    <row r="886" s="10" customFormat="1" ht="15" customHeight="1"/>
    <row r="887" s="10" customFormat="1" ht="15" customHeight="1"/>
    <row r="888" s="10" customFormat="1" ht="15" customHeight="1"/>
    <row r="889" s="10" customFormat="1" ht="15" customHeight="1"/>
    <row r="890" s="10" customFormat="1" ht="15" customHeight="1"/>
    <row r="891" s="10" customFormat="1" ht="15" customHeight="1"/>
    <row r="892" s="10" customFormat="1" ht="15" customHeight="1"/>
    <row r="893" s="10" customFormat="1" ht="15" customHeight="1"/>
    <row r="894" s="10" customFormat="1" ht="15" customHeight="1"/>
    <row r="895" s="10" customFormat="1" ht="15" customHeight="1"/>
    <row r="896" s="10" customFormat="1" ht="15" customHeight="1"/>
    <row r="897" s="10" customFormat="1" ht="15" customHeight="1"/>
    <row r="898" s="10" customFormat="1" ht="15" customHeight="1"/>
    <row r="899" s="10" customFormat="1" ht="15" customHeight="1"/>
    <row r="900" s="10" customFormat="1" ht="15" customHeight="1"/>
    <row r="901" s="10" customFormat="1" ht="15" customHeight="1"/>
    <row r="902" s="10" customFormat="1" ht="15" customHeight="1"/>
    <row r="903" s="10" customFormat="1" ht="15" customHeight="1"/>
    <row r="904" s="10" customFormat="1" ht="15" customHeight="1"/>
    <row r="905" s="10" customFormat="1" ht="15" customHeight="1"/>
    <row r="906" s="10" customFormat="1" ht="15" customHeight="1"/>
    <row r="907" s="10" customFormat="1" ht="15" customHeight="1"/>
    <row r="908" s="10" customFormat="1" ht="15" customHeight="1"/>
    <row r="909" s="10" customFormat="1" ht="15" customHeight="1"/>
    <row r="910" s="10" customFormat="1" ht="15" customHeight="1"/>
    <row r="911" s="10" customFormat="1" ht="15" customHeight="1"/>
    <row r="912" s="10" customFormat="1" ht="15" customHeight="1"/>
    <row r="913" s="10" customFormat="1" ht="15" customHeight="1"/>
    <row r="914" s="10" customFormat="1" ht="15" customHeight="1"/>
    <row r="915" s="10" customFormat="1" ht="15" customHeight="1"/>
    <row r="916" s="10" customFormat="1" ht="15" customHeight="1"/>
    <row r="917" s="10" customFormat="1" ht="15" customHeight="1"/>
    <row r="918" s="10" customFormat="1" ht="15" customHeight="1"/>
    <row r="919" s="10" customFormat="1" ht="15" customHeight="1"/>
    <row r="920" s="10" customFormat="1" ht="15" customHeight="1"/>
    <row r="921" s="10" customFormat="1" ht="15" customHeight="1"/>
    <row r="922" s="10" customFormat="1" ht="15" customHeight="1"/>
    <row r="923" s="10" customFormat="1" ht="15" customHeight="1"/>
    <row r="924" s="10" customFormat="1" ht="15" customHeight="1"/>
    <row r="925" s="10" customFormat="1" ht="15" customHeight="1"/>
    <row r="926" s="10" customFormat="1" ht="15" customHeight="1"/>
    <row r="927" s="10" customFormat="1" ht="15" customHeight="1"/>
    <row r="928" s="10" customFormat="1" ht="15" customHeight="1"/>
    <row r="929" s="10" customFormat="1" ht="15" customHeight="1"/>
    <row r="930" s="10" customFormat="1" ht="15" customHeight="1"/>
    <row r="931" s="10" customFormat="1" ht="15" customHeight="1"/>
    <row r="932" s="10" customFormat="1" ht="15" customHeight="1"/>
    <row r="933" s="10" customFormat="1" ht="15" customHeight="1"/>
    <row r="934" s="10" customFormat="1" ht="15" customHeight="1"/>
    <row r="935" s="10" customFormat="1" ht="15" customHeight="1"/>
    <row r="936" s="10" customFormat="1" ht="15" customHeight="1"/>
    <row r="937" s="10" customFormat="1" ht="15" customHeight="1"/>
    <row r="938" s="10" customFormat="1" ht="15" customHeight="1"/>
    <row r="939" s="10" customFormat="1" ht="15" customHeight="1"/>
    <row r="940" s="10" customFormat="1" ht="15" customHeight="1"/>
    <row r="941" s="10" customFormat="1" ht="15" customHeight="1"/>
    <row r="942" s="10" customFormat="1" ht="15" customHeight="1"/>
    <row r="943" s="10" customFormat="1" ht="15" customHeight="1"/>
    <row r="944" s="10" customFormat="1" ht="15" customHeight="1"/>
    <row r="945" s="10" customFormat="1" ht="15" customHeight="1"/>
    <row r="946" s="10" customFormat="1" ht="15" customHeight="1"/>
    <row r="947" s="10" customFormat="1" ht="15" customHeight="1"/>
    <row r="948" s="10" customFormat="1" ht="15" customHeight="1"/>
    <row r="949" s="10" customFormat="1" ht="15" customHeight="1"/>
    <row r="950" s="10" customFormat="1" ht="15" customHeight="1"/>
    <row r="951" s="10" customFormat="1" ht="15" customHeight="1"/>
    <row r="952" s="10" customFormat="1" ht="15" customHeight="1"/>
    <row r="953" s="10" customFormat="1" ht="15" customHeight="1"/>
    <row r="954" s="10" customFormat="1" ht="15" customHeight="1"/>
    <row r="955" s="10" customFormat="1" ht="15" customHeight="1"/>
  </sheetData>
  <mergeCells count="12">
    <mergeCell ref="D1:Q1"/>
    <mergeCell ref="D2:Q2"/>
    <mergeCell ref="D16:Q16"/>
    <mergeCell ref="D17:Q17"/>
    <mergeCell ref="D94:Q94"/>
    <mergeCell ref="D25:Q25"/>
    <mergeCell ref="D42:Q42"/>
    <mergeCell ref="D50:Q50"/>
    <mergeCell ref="D59:Q59"/>
    <mergeCell ref="D71:Q71"/>
    <mergeCell ref="D79:Q79"/>
    <mergeCell ref="D89:Q89"/>
  </mergeCells>
  <pageMargins left="0.511811024" right="0.511811024" top="0.78740157499999996" bottom="0.78740157499999996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Orçamento 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CorreiaBeatriz</cp:lastModifiedBy>
  <dcterms:modified xsi:type="dcterms:W3CDTF">2021-05-04T15:38:57Z</dcterms:modified>
</cp:coreProperties>
</file>